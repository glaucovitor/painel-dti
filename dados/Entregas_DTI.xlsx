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uc\Downloads\"/>
    </mc:Choice>
  </mc:AlternateContent>
  <xr:revisionPtr revIDLastSave="0" documentId="8_{D8F9D525-242D-4B7B-A811-A8096EECC565}" xr6:coauthVersionLast="47" xr6:coauthVersionMax="47" xr10:uidLastSave="{00000000-0000-0000-0000-000000000000}"/>
  <bookViews>
    <workbookView xWindow="-108" yWindow="-108" windowWidth="23256" windowHeight="12456" firstSheet="3" activeTab="3" xr2:uid="{20F6D7E1-310E-41D2-8D5C-7BEC8215223A}"/>
  </bookViews>
  <sheets>
    <sheet name="Relatórios" sheetId="6" r:id="rId1"/>
    <sheet name="Frentes" sheetId="1" r:id="rId2"/>
    <sheet name="Atividades" sheetId="10" r:id="rId3"/>
    <sheet name="Entregas" sheetId="2" r:id="rId4"/>
    <sheet name="Publicações" sheetId="5" r:id="rId5"/>
    <sheet name="Orientações" sheetId="3" r:id="rId6"/>
    <sheet name="Participações em Eventos" sheetId="4" r:id="rId7"/>
    <sheet name="Oficinas" sheetId="7" r:id="rId8"/>
    <sheet name="Entregas_por_Oficinas" sheetId="8" r:id="rId9"/>
    <sheet name="Avaliacao_Reacao" sheetId="11" r:id="rId10"/>
    <sheet name="Avaliacao_Impacto" sheetId="12" r:id="rId11"/>
    <sheet name="Não mexer aqui" sheetId="9" r:id="rId12"/>
  </sheets>
  <definedNames>
    <definedName name="_xlnm._FilterDatabase" localSheetId="3" hidden="1">Entregas!$B$1:$J$1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7" l="1"/>
  <c r="N15" i="7"/>
</calcChain>
</file>

<file path=xl/sharedStrings.xml><?xml version="1.0" encoding="utf-8"?>
<sst xmlns="http://schemas.openxmlformats.org/spreadsheetml/2006/main" count="1757" uniqueCount="824">
  <si>
    <t>Relatório</t>
  </si>
  <si>
    <t>Produto</t>
  </si>
  <si>
    <t>Período</t>
  </si>
  <si>
    <t>Status</t>
  </si>
  <si>
    <t>OBS</t>
  </si>
  <si>
    <t>1.1</t>
  </si>
  <si>
    <t xml:space="preserve">21/11/2024 – 31/03/2025 </t>
  </si>
  <si>
    <t>Entregue</t>
  </si>
  <si>
    <t>2.1</t>
  </si>
  <si>
    <t>08/10/2024 – 30/11/2024</t>
  </si>
  <si>
    <t>1.2</t>
  </si>
  <si>
    <t xml:space="preserve">01/04/2025 – 31/10/2025 </t>
  </si>
  <si>
    <t>2.2</t>
  </si>
  <si>
    <t xml:space="preserve">01/11/2024 – 31/10/2025 </t>
  </si>
  <si>
    <t>1.3</t>
  </si>
  <si>
    <t xml:space="preserve">01/11/2025 – 30/03/2026 </t>
  </si>
  <si>
    <t>Entregue REF dia 22/04/2026 as 21:24:29. Processo SEI 23106.063201/2024-11</t>
  </si>
  <si>
    <t>2.3</t>
  </si>
  <si>
    <t>01/11/2025 – 31/10/2026</t>
  </si>
  <si>
    <t>Previsto</t>
  </si>
  <si>
    <t>1.4</t>
  </si>
  <si>
    <t xml:space="preserve">01/04/2026 – 31/10/2026 </t>
  </si>
  <si>
    <t>1.5</t>
  </si>
  <si>
    <t>01/11/2026 – 08/07/2027</t>
  </si>
  <si>
    <t>2.4</t>
  </si>
  <si>
    <t>ID</t>
  </si>
  <si>
    <t>Frente</t>
  </si>
  <si>
    <t>Meta</t>
  </si>
  <si>
    <t>F1</t>
  </si>
  <si>
    <t>Governança e Gestão</t>
  </si>
  <si>
    <t>F2</t>
  </si>
  <si>
    <t>Central Unificada de Relacionamento (RelacionaGov)</t>
  </si>
  <si>
    <t>F3</t>
  </si>
  <si>
    <t>Rateio de Despesas (Splitgov)</t>
  </si>
  <si>
    <t>F4</t>
  </si>
  <si>
    <t>Serviços Estruturantes: ComprasGov, Contratos e PGC</t>
  </si>
  <si>
    <t>F5</t>
  </si>
  <si>
    <t>Apoio à Estratégia de Agentes de IA</t>
  </si>
  <si>
    <t>F6</t>
  </si>
  <si>
    <t>ColaboraHub</t>
  </si>
  <si>
    <t>F7</t>
  </si>
  <si>
    <t>Melhoria da Experiência - Painéis SSC</t>
  </si>
  <si>
    <t>F8</t>
  </si>
  <si>
    <t>Estratégia para Envolvimento dos novos ATIs</t>
  </si>
  <si>
    <t>F9</t>
  </si>
  <si>
    <t>Piloto I aplicação de DS  - Digital Twins</t>
  </si>
  <si>
    <t>F10</t>
  </si>
  <si>
    <t>Implantação do Laboratório de Inovação (Colaboralab)</t>
  </si>
  <si>
    <t>F11</t>
  </si>
  <si>
    <t>Logística/Patrimônio</t>
  </si>
  <si>
    <t>F12</t>
  </si>
  <si>
    <r>
      <rPr>
        <sz val="11"/>
        <color rgb="FF000000"/>
        <rFont val="Calibri"/>
        <scheme val="minor"/>
      </rPr>
      <t xml:space="preserve">Orientações </t>
    </r>
    <r>
      <rPr>
        <b/>
        <sz val="11"/>
        <color rgb="FF000000"/>
        <rFont val="Calibri"/>
        <scheme val="minor"/>
      </rPr>
      <t>Diretas</t>
    </r>
  </si>
  <si>
    <t>F13</t>
  </si>
  <si>
    <r>
      <rPr>
        <sz val="11"/>
        <color rgb="FF000000"/>
        <rFont val="Calibri"/>
        <scheme val="minor"/>
      </rPr>
      <t xml:space="preserve">Orientações </t>
    </r>
    <r>
      <rPr>
        <b/>
        <sz val="11"/>
        <color rgb="FF000000"/>
        <rFont val="Calibri"/>
        <scheme val="minor"/>
      </rPr>
      <t>Indiretas</t>
    </r>
  </si>
  <si>
    <t>F14</t>
  </si>
  <si>
    <r>
      <rPr>
        <sz val="11"/>
        <color rgb="FF000000"/>
        <rFont val="Calibri"/>
        <scheme val="minor"/>
      </rPr>
      <t xml:space="preserve">Produção Científica </t>
    </r>
    <r>
      <rPr>
        <b/>
        <sz val="11"/>
        <color rgb="FF000000"/>
        <rFont val="Calibri"/>
        <scheme val="minor"/>
      </rPr>
      <t>Direta</t>
    </r>
  </si>
  <si>
    <t>F15</t>
  </si>
  <si>
    <r>
      <rPr>
        <sz val="11"/>
        <color rgb="FF000000"/>
        <rFont val="Calibri"/>
        <scheme val="minor"/>
      </rPr>
      <t xml:space="preserve">Produção Científica </t>
    </r>
    <r>
      <rPr>
        <b/>
        <sz val="11"/>
        <color rgb="FF000000"/>
        <rFont val="Calibri"/>
        <scheme val="minor"/>
      </rPr>
      <t>Indireta</t>
    </r>
  </si>
  <si>
    <t>F16</t>
  </si>
  <si>
    <t>Mobilização da Equipe</t>
  </si>
  <si>
    <t>F17</t>
  </si>
  <si>
    <t>Participação em Eventos</t>
  </si>
  <si>
    <t>F18</t>
  </si>
  <si>
    <t>Compartilha Serviços</t>
  </si>
  <si>
    <t>F19</t>
  </si>
  <si>
    <t>Projeto gestão de PPF's - CGFIN-DTI</t>
  </si>
  <si>
    <t>F20</t>
  </si>
  <si>
    <t>Solução para o Cadastro Nacional de Empresas MEMP</t>
  </si>
  <si>
    <t>ID_Atividade</t>
  </si>
  <si>
    <t>Atividade</t>
  </si>
  <si>
    <t>A1</t>
  </si>
  <si>
    <t>Oficinas Colaborativas</t>
  </si>
  <si>
    <t>A2</t>
  </si>
  <si>
    <t>Teste de Usabilidade com Usuários</t>
  </si>
  <si>
    <t>A3</t>
  </si>
  <si>
    <t>Grupo Focal</t>
  </si>
  <si>
    <t>A4</t>
  </si>
  <si>
    <t>Pesquisa em Campo</t>
  </si>
  <si>
    <t>A5</t>
  </si>
  <si>
    <t>Questionário / Survey</t>
  </si>
  <si>
    <t>A6</t>
  </si>
  <si>
    <t>Apoio ao Desenvolvimento e Implantação</t>
  </si>
  <si>
    <t>A7</t>
  </si>
  <si>
    <t>Elaboração de Guias e Manuais</t>
  </si>
  <si>
    <t>A8</t>
  </si>
  <si>
    <t>Avaliação de Qualidade</t>
  </si>
  <si>
    <t>A9</t>
  </si>
  <si>
    <t>Prototipação</t>
  </si>
  <si>
    <t>A10</t>
  </si>
  <si>
    <t>Documentos Técnicos</t>
  </si>
  <si>
    <t>A11</t>
  </si>
  <si>
    <t>Avaliação UX e Heurística</t>
  </si>
  <si>
    <t>A12</t>
  </si>
  <si>
    <t>Treinamentos e Capacitações</t>
  </si>
  <si>
    <t>A13</t>
  </si>
  <si>
    <t>Apoio a Gestão</t>
  </si>
  <si>
    <t>A14</t>
  </si>
  <si>
    <t>Comunicação</t>
  </si>
  <si>
    <t>A15</t>
  </si>
  <si>
    <t>Data Discovery</t>
  </si>
  <si>
    <t>A16</t>
  </si>
  <si>
    <t>Implantação de Ferramentas</t>
  </si>
  <si>
    <t>ID_Entrega</t>
  </si>
  <si>
    <t>Descrição</t>
  </si>
  <si>
    <t>Data</t>
  </si>
  <si>
    <t>Solicitante</t>
  </si>
  <si>
    <t>Anexo</t>
  </si>
  <si>
    <t>Link</t>
  </si>
  <si>
    <t>E1</t>
  </si>
  <si>
    <t>Mobilização da equipe prevista no texto-base do projeto de pesquisa assinado</t>
  </si>
  <si>
    <t>Finalizado</t>
  </si>
  <si>
    <t>Interno</t>
  </si>
  <si>
    <t>M1-P2.1-F1-R1-1</t>
  </si>
  <si>
    <t>https://unbbr.sharepoint.com/:b:/s/ITRAC-DITSSCMGI/IQAzD29GfTcFQoeIFucefHSGAcL4jEnWexrXq6kRNu4Rt9A?e=WXS3dN</t>
  </si>
  <si>
    <t>E2</t>
  </si>
  <si>
    <t>Coleta de dados dos principais clientes do DTI e Colaboragov sobre maturidade em transformação digital</t>
  </si>
  <si>
    <t>DTI-CGTDS</t>
  </si>
  <si>
    <t>M1-P1.1-F1-R1-1.1</t>
  </si>
  <si>
    <t>https://unbbr.sharepoint.com/:b:/s/ITRAC-DITSSCMGI/IQBsEWrE_alfQ78VJpMkB7lyAU83F468bZ3vEDbwKfj9cEM?e=EPITR3</t>
  </si>
  <si>
    <t>E3</t>
  </si>
  <si>
    <t>Análise e desdobramento da EAP do DTI para 2025 e como o ITRAC pode apoiar em sua materialização</t>
  </si>
  <si>
    <t>M1-P1.1-F1-R1-1.2</t>
  </si>
  <si>
    <t>https://unbbr.sharepoint.com/:x:/s/ITRAC-DITSSCMGI/IQAc7-MZzm2DSYMJymRiZI_tARP4WenVJalTy8Y85604Qd0?e=I7otcF</t>
  </si>
  <si>
    <t>E4</t>
  </si>
  <si>
    <t>Relatório da “Oficina Estratégica de Imersão Organizacional em Design de Serviços Digitais”</t>
  </si>
  <si>
    <t>SSC-DTI</t>
  </si>
  <si>
    <t>M1-P1.1-F1-R1-1.3</t>
  </si>
  <si>
    <t>https://unbbr.sharepoint.com/:b:/s/ITRAC-DITSSCMGI/IQCV12QWQlAaTrtj_P-FHjHKATEBQbdhbti9DhJFzvQB6QE?e=vsE0Kn</t>
  </si>
  <si>
    <t>E5</t>
  </si>
  <si>
    <t>Relatório final da oficina do 1º ciclo de Design de Serviço Central Unificada de Relacionamento (RelacionaGov)</t>
  </si>
  <si>
    <t>DTI- CGRST</t>
  </si>
  <si>
    <t>M1-P1.1-F2-R1-2.1</t>
  </si>
  <si>
    <t>https://unbbr.sharepoint.com/:b:/s/ITRAC-DITSSCMGI/IQBh42f2pPtdTIeqfdhcb4DSAeg11hRxg5aHZ3mgOWB1kjs?e=SplbtA</t>
  </si>
  <si>
    <t>E6</t>
  </si>
  <si>
    <t>Quadros do MIRO resultantes da oficina do 1º ciclo de Design de Serviço Central Unificada de Relacionamento (RelacionaGov)</t>
  </si>
  <si>
    <t>M1-P1.1-F2-R1-2.2</t>
  </si>
  <si>
    <t>https://unbbr.sharepoint.com/:b:/s/ITRAC-DITSSCMGI/IQCjFLsNSY8IQaW2y87dMRKyAYLn1aVdngE4JflqVyzZvMk?e=Oq7gPJ</t>
  </si>
  <si>
    <t>E7</t>
  </si>
  <si>
    <t>Relatório da oficina de codesign do serviço de "Rateio de Despesas"</t>
  </si>
  <si>
    <t>M1-P1.1-F3-R1-3.1</t>
  </si>
  <si>
    <t>https://unbbr.sharepoint.com/:b:/s/ITRAC-DITSSCMGI/IQBj_A_FSRMmSZ-2fo7cqZRAAS6BH1-7oy56N3UyTneMufY?e=BG9oQG</t>
  </si>
  <si>
    <t>E8</t>
  </si>
  <si>
    <t>Relatório do 1º Ciclo de Design de Serviços: ComprasGov</t>
  </si>
  <si>
    <t>M1-P1.1-F4-R1-4.1</t>
  </si>
  <si>
    <t>https://unbbr.sharepoint.com/:b:/s/ITRAC-DITSSCMGI/IQCNQt9tDyQQRIy4p3H3BzTKAcjLhoqSaDmvnpwex55ZST8?e=5aZmiv</t>
  </si>
  <si>
    <t>E9</t>
  </si>
  <si>
    <t>Relatório SplitGov - Análise de Usabilidade</t>
  </si>
  <si>
    <t>M1-P1.2-F1-R2-1</t>
  </si>
  <si>
    <t>https://unbbr.sharepoint.com/:b:/s/ITRAC-DITSSCMGI/IQCPuhqEt7sAT4O38a9gVPs1AUwsKKX1PwdyxIwW5S6Gbhs?e=p9s5Tm</t>
  </si>
  <si>
    <t>E10</t>
  </si>
  <si>
    <t>Relatórios completo do "1º Ciclo de Oficinas sobre o Serviço de Rateio"</t>
  </si>
  <si>
    <r>
      <t>M1-P1.2</t>
    </r>
    <r>
      <rPr>
        <sz val="11"/>
        <color theme="1"/>
        <rFont val="Calibri"/>
        <family val="2"/>
        <scheme val="minor"/>
      </rPr>
      <t>-F1-</t>
    </r>
    <r>
      <rPr>
        <sz val="11"/>
        <color rgb="FF7030A0"/>
        <rFont val="Calibri"/>
        <family val="2"/>
        <scheme val="minor"/>
      </rPr>
      <t>R2</t>
    </r>
    <r>
      <rPr>
        <sz val="11"/>
        <color theme="1"/>
        <rFont val="Calibri"/>
        <family val="2"/>
        <scheme val="minor"/>
      </rPr>
      <t>-2</t>
    </r>
  </si>
  <si>
    <t>https://unbbr.sharepoint.com/:b:/s/ITRAC-DITSSCMGI/IQBDDv4vBGroR78-pAQujkirAdVYfdTwshs4juljqqx_Crw?e=Uo9A9d</t>
  </si>
  <si>
    <t>E11</t>
  </si>
  <si>
    <t>Sumário executivo do "1º Ciclo de Oficinas sobre o Serviço de Rateio"</t>
  </si>
  <si>
    <t>M1-P1.2-F1-R2-3</t>
  </si>
  <si>
    <t>https://unbbr.sharepoint.com/:b:/s/ITRAC-DITSSCMGI/IQDUVGVMjGZ0Q5wAW5Lh-BWdAfpagSCVaILoLeZ1lB6zXF4?e=69hms1</t>
  </si>
  <si>
    <t>E12</t>
  </si>
  <si>
    <t>Relatórios completo da "Oficina 1 do 2º ciclo de Avaliação e Aprimoramento do Splitgov"</t>
  </si>
  <si>
    <t>M1-P1.2-F1-R2-4</t>
  </si>
  <si>
    <t>https://unbbr.sharepoint.com/:b:/s/ITRAC-DITSSCMGI/IQB1moVj_XdwQ4s-2oXXh1wpAfhnPWza7c1Sc9uK3i35MJ8?e=bffxPl</t>
  </si>
  <si>
    <t>E13</t>
  </si>
  <si>
    <t>Sumário executivo da "Oficina 1 do 2º ciclo de Avaliação e Aprimoramento do Splitgov"</t>
  </si>
  <si>
    <t>M1-P1.2-F1-R2-5</t>
  </si>
  <si>
    <t>https://unbbr.sharepoint.com/:b:/s/ITRAC-DITSSCMGI/IQCAOKnvQJgPSa7lnPFCahbxAcMzAVuq246jV5IipFc1CzE?e=CwY0CI</t>
  </si>
  <si>
    <t>E14</t>
  </si>
  <si>
    <t>Relatório completo das "Oficinas 1 e 2 de design de serviços do módulo de orçamento do Splitgov"</t>
  </si>
  <si>
    <t>M1-P1.2-F1-R2-6</t>
  </si>
  <si>
    <t>https://unbbr.sharepoint.com/:b:/s/ITRAC-DITSSCMGI/IQDZemcEmQ49SJ59e6206kxGAeTlQnpJ3aTrvNqC2TSysDo?e=m3oOg5</t>
  </si>
  <si>
    <t>E15</t>
  </si>
  <si>
    <t>Relatório da "1ª Oficina de Backlog do SplitGov-orçamento", realizada em 23/07/25 e 29/07/25.</t>
  </si>
  <si>
    <t>M1-P1.2-F1-R2-7</t>
  </si>
  <si>
    <t>https://unbbr.sharepoint.com/:b:/s/ITRAC-DITSSCMGI/IQCpuYrWMr2QQpXkeq3x4OCvAWbOH5Klcl9GWwibZRClOOA?e=22GlWQ</t>
  </si>
  <si>
    <t>E16</t>
  </si>
  <si>
    <t>Análise e Avaliação Heurística de Usabilidade do Protótipo: SplitGov-Fluxo Orçamentário.</t>
  </si>
  <si>
    <t>M1-P1.2-F1-R2-8</t>
  </si>
  <si>
    <t>https://unbbr.sharepoint.com/:b:/s/ITRAC-DITSSCMGI/IQAnC5NYM7-5RYrsCXGGpYE2AayErmS7YmYonFr5DnQPTfM?e=Zvz57n</t>
  </si>
  <si>
    <t>E17</t>
  </si>
  <si>
    <t>Relatório consolidado das Oficinas de Backlog do SplitGov-orçamento, realizadas em 23/07/25, 29/07/25 e 01/09/2025</t>
  </si>
  <si>
    <t>M1-P1.2-F1-R2-9</t>
  </si>
  <si>
    <t>https://unbbr.sharepoint.com/:b:/s/ITRAC-DITSSCMGI/IQDL7ssxI2lsQrAkLw7rxFucAbmlj9TXxqCYQv8r74yS3GQ?e=sbvrFE</t>
  </si>
  <si>
    <t>E18</t>
  </si>
  <si>
    <t>Relatório dos testes com os usuários do Módulo Orçamento do Splitgov(Online) realizado em 01/09/2025.</t>
  </si>
  <si>
    <t>M1-P1.2-F1-R2-10</t>
  </si>
  <si>
    <t>https://unbbr.sharepoint.com/:b:/s/ITRAC-DITSSCMGI/IQC5QuESkS29Tqz2UyAkKDVIAUd2YWCZ0WBov-LYRzZmw7Q?e=9JCWp7</t>
  </si>
  <si>
    <t>E19</t>
  </si>
  <si>
    <t>Resultados da reunião de priorização para o 2º Ciclo de Design de Serviços: serviços estruturantes</t>
  </si>
  <si>
    <t>M1-P1.2-F2-R2-1</t>
  </si>
  <si>
    <t>https://unbbr.sharepoint.com/:b:/s/ITRAC-DITSSCMGI/IQD4y1maonSSTqiuHAiJ_lo6AVopnB1DrEpKLxNVQeQwuUI?e=IGAdkJ</t>
  </si>
  <si>
    <t>E20</t>
  </si>
  <si>
    <t>Handover executivo do Ciclo 1 –ComprasGov- Melhorias dos Sistemas Estruturantes</t>
  </si>
  <si>
    <t>M1-P1.2-F2-R2-2</t>
  </si>
  <si>
    <t>https://unbbr.sharepoint.com/:b:/s/ITRAC-DITSSCMGI/IQBG7I4AJHlzQpUjuI-GytQ-AR0057_JQiQ-z7OG47Gnb9M?e=DH8ueJ</t>
  </si>
  <si>
    <t>E21</t>
  </si>
  <si>
    <t>Apresentação DTI e ITRAC para SEGES - Contrato</t>
  </si>
  <si>
    <t>M1-P1.2-F2-R2-3</t>
  </si>
  <si>
    <t>https://unbbr.sharepoint.com/:p:/s/ITRAC-DITSSCMGI/IQDiFDPuyrzKRrHqlj65PJrRAfIcbXc-FQyv29JXqaFSax4?e=Pfyqc5</t>
  </si>
  <si>
    <t>E22</t>
  </si>
  <si>
    <t>Relatório de análise de Usabilidade e Experiência dos Usuários do PGC e Contratos</t>
  </si>
  <si>
    <t>M1-P1.2-F2-R2-4</t>
  </si>
  <si>
    <t>https://unbbr.sharepoint.com/:b:/s/ITRAC-DITSSCMGI/IQDvCTmJZxDkQpIbl9unNi_1AdRjh46INeTCsFV4r_kHqmM?e=Vye9W0</t>
  </si>
  <si>
    <t>E23</t>
  </si>
  <si>
    <t>Relatório das Oficinas de Melhorias dos Sistemas Estruturantes - Ciclo 2: Contratos</t>
  </si>
  <si>
    <t>M1-P1.2-F2-R2-5</t>
  </si>
  <si>
    <t>https://unbbr.sharepoint.com/:b:/s/ITRAC-DITSSCMGI/IQBkJTOkihwbR73oJPfRQOOHAey_xEpJ9OfIKOjAsFB2-uo?e=dD0OEN</t>
  </si>
  <si>
    <t>E24</t>
  </si>
  <si>
    <t>Relatórios executivo do "1° Ciclo de Oficinas de Estratégica de Imersão Organizacional em Design de Serviços Digitais", realizadas em 27/03/25 e 14/05/25</t>
  </si>
  <si>
    <t>M1-P1.2-F3-R2-1</t>
  </si>
  <si>
    <t>https://unbbr.sharepoint.com/:b:/s/ITRAC-DITSSCMGI/IQCNVJswZZV-S7SFtZB0U1kDAa9aRbt7-FGeZWX5Q11IoaY?e=1QH5FC</t>
  </si>
  <si>
    <t>E25</t>
  </si>
  <si>
    <t>Relatórios completo do "1° Ciclo de Oficinas de Estratégica de Imersão Organizacional em Design de Serviços Digitais", realizadas em 27/03 e 14/05/25</t>
  </si>
  <si>
    <t>M1-P1.2-F3-R2-2</t>
  </si>
  <si>
    <t>https://unbbr.sharepoint.com/:b:/s/ITRAC-DITSSCMGI/IQBdt269gfRVQ7Q245SHG3mdAUvnEmYRx0UW4uK-nyQvE4k?e=AHfHFU</t>
  </si>
  <si>
    <t>E26</t>
  </si>
  <si>
    <t>Relatórios completo e executivo da "1ª Reunião Estratégica de Fortalecimento do ColaboraGov", realizada em 12/06/25 - parte 1</t>
  </si>
  <si>
    <t>M1-P1.2-F3-R2-3</t>
  </si>
  <si>
    <t>https://unbbr.sharepoint.com/:b:/s/ITRAC-DITSSCMGI/IQCnM_3qj59eQ5obPbxNmlJsAaOldRW5mLqtJowRQbpOF1w?e=u4Vagt</t>
  </si>
  <si>
    <t>E27</t>
  </si>
  <si>
    <t>Relatórios executivo da "1ª Reunião Estratégica de Fortalecimento do ColaboraGov", realizada em 12/06/25</t>
  </si>
  <si>
    <t>M1-P1.2-F3-R2-4</t>
  </si>
  <si>
    <t>https://unbbr.sharepoint.com/:b:/s/ITRAC-DITSSCMGI/IQBo4vNBinkHSqWNk-bj55HyAab_jKgjHyCYzDbj-pu4wY8?e=pAC11N</t>
  </si>
  <si>
    <t>E28</t>
  </si>
  <si>
    <t>Relatório da "2ª Reunião Estratégica de Fortalecimento do ColaboraGov", realizada em 31/07/25.</t>
  </si>
  <si>
    <t>M1-P1.2-F3-R2-5</t>
  </si>
  <si>
    <t>https://unbbr.sharepoint.com/:b:/s/ITRAC-DITSSCMGI/IQBQA11OhlxxTKveCkRgrUd1AcZSSoI8o1sRlLcUy6W_fYM?e=9HMIlD</t>
  </si>
  <si>
    <t>E29</t>
  </si>
  <si>
    <t>Relatórios completo da "oficina de codesign do letramento de IA"</t>
  </si>
  <si>
    <t>M1-P1.2-F4-R2-1</t>
  </si>
  <si>
    <t>https://unbbr.sharepoint.com/:b:/s/ITRAC-DITSSCMGI/IQCW3capSodpQJ7HIp4TkVboAXZB_Puca00ucfUbA998JPk?e=WZMwEr</t>
  </si>
  <si>
    <t>E30</t>
  </si>
  <si>
    <t>Sumário executivo da "oficina de codesign do letramento de IA"</t>
  </si>
  <si>
    <t>M1-P1.2-F4-R2-2</t>
  </si>
  <si>
    <t>https://unbbr.sharepoint.com/:b:/s/ITRAC-DITSSCMGI/IQAIouWDda9lTKyae1BXa1riAYBa61biuBbYj0P-1LQJi60?e=gVa9Y1</t>
  </si>
  <si>
    <t>E31</t>
  </si>
  <si>
    <t>Relatório completo da oficina 1, do ColaboraHub realizada em 02/07/25</t>
  </si>
  <si>
    <t>M1-P1.2-F5-R2-1</t>
  </si>
  <si>
    <t>https://unbbr.sharepoint.com/:b:/s/ITRAC-DITSSCMGI/IQAozp5uilU0S6c0GNFgfO1VAWJxpFBvqDAa551A_-4Cylk?e=0QJJ1s</t>
  </si>
  <si>
    <t>E32</t>
  </si>
  <si>
    <t>Sumário executivo da oficina 1, do ColaboraHub realizada em 02/07/25</t>
  </si>
  <si>
    <t>M1-P1.2-F5-R2-2</t>
  </si>
  <si>
    <t>https://unbbr.sharepoint.com/:b:/s/ITRAC-DITSSCMGI/IQAzCuxna1ufSYWmjcoyc3q5AatK9B5nLg3tgFod2NAkZz0?e=QwfNoZ</t>
  </si>
  <si>
    <t>E33</t>
  </si>
  <si>
    <t>Diagnóstico e Planejamento da melhoria da experiência dos Painéis SSC, realizado entre abril e julho de 2025.</t>
  </si>
  <si>
    <t>M1-P1.2-F6-R2-1</t>
  </si>
  <si>
    <t>https://unbbr.sharepoint.com/:b:/s/ITRAC-DITSSCMGI/IQAOn7TNFMUXTLPhVTpGTGhIAWLMejALWsE9Mo0SsUv8YQs?e=KOBcCc</t>
  </si>
  <si>
    <t>E34</t>
  </si>
  <si>
    <t>Relatório final do levantamento da melhoria da experiência dos Painéis SSC.</t>
  </si>
  <si>
    <t>M1-P1.2-F6-R2-2</t>
  </si>
  <si>
    <t>https://unbbr.sharepoint.com/:b:/s/ITRAC-DITSSCMGI/IQAxvGgPcbrJSqVvQmTDducbAffjdqbanmiD5l-fTw4gpTc?e=IacbxD</t>
  </si>
  <si>
    <t>E35</t>
  </si>
  <si>
    <t>Estratégia para Envolvimento dos novos ATIs – Codesign de Serviços Digitais na SSC com Fusion Teams.</t>
  </si>
  <si>
    <t>M1-P1.2-F7-R2-1</t>
  </si>
  <si>
    <t>https://unbbr.sharepoint.com/:b:/s/ITRAC-DITSSCMGI/IQAGCL5Io1oQQ7O5e7aI6VFYAUw5qTQYm2S-3wcRFYRtyPM?e=cwcwFO</t>
  </si>
  <si>
    <t>E36</t>
  </si>
  <si>
    <t>Canvas de codesign do 1º piloto de aplicação do design de serviços digitais fim-a-fim</t>
  </si>
  <si>
    <t>M1-P1.2-F8-R2-1</t>
  </si>
  <si>
    <t>https://unbbr.sharepoint.com/:b:/s/ITRAC-DITSSCMGI/IQCRbgjt30jiSL9zRR9G1n4nAa_kb6PfLFBaKFOftkwwqNY?e=QlWbq9</t>
  </si>
  <si>
    <t>E37</t>
  </si>
  <si>
    <t>Apresentação do Kickoff do projeto ColaboraLab</t>
  </si>
  <si>
    <t>M1-P1.2-F9-R2-1</t>
  </si>
  <si>
    <t>https://unbbr.sharepoint.com/:b:/s/ITRAC-DITSSCMGI/IQDJxC-tEwdbTIUwV8KctTGUARYiHdqFkkWR2FX5UjGulAw?e=gT6zTA</t>
  </si>
  <si>
    <t>E38</t>
  </si>
  <si>
    <t>Relatório final do 2º ciclo de Design de Serviço Central Unificada de Relacionamento (RelacionaGov), realizado nos meses de agosto e setembro de 2025.</t>
  </si>
  <si>
    <t>M1-P1.2-F10-R2-1</t>
  </si>
  <si>
    <t>https://unbbr.sharepoint.com/:b:/s/ITRAC-DITSSCMGI/IQAck0Y7HoDASLUDf0lax9fmAcrdjtcZ_pK0RDPNAY-DXnc?e=rFZUXN</t>
  </si>
  <si>
    <t>E39</t>
  </si>
  <si>
    <t>Estudo de naming do laboratório</t>
  </si>
  <si>
    <t>M1-P1.3-F1-R3-1</t>
  </si>
  <si>
    <t>https://unbbr.sharepoint.com/:i:/s/ITRAC-DITSSCMGI/IQBViCnt2-AaQYrAdIeGLg09AaNFULeWzvEFer3g7D5wZZg?e=1zXu9f</t>
  </si>
  <si>
    <t>E40</t>
  </si>
  <si>
    <t>Plano de ações de implantação do Colaboralab</t>
  </si>
  <si>
    <t>M1-P1.3-F1-R3-2</t>
  </si>
  <si>
    <t>https://unbbr.sharepoint.com/:b:/s/ITRAC-DITSSCMGI/IQBMt3m3C9EfQpbH1PpJNjXSAf7nnFOHJkeYH-UNzdviotk?e=9t1Fi6</t>
  </si>
  <si>
    <t>E41</t>
  </si>
  <si>
    <t>Compilado das entregas do plano de comunicação e disseminação</t>
  </si>
  <si>
    <t>M1-P1.3-F1-R3-3</t>
  </si>
  <si>
    <t>https://unbbr.sharepoint.com/:u:/s/ITRAC-DITSSCMGI/IQCxOMYZMcqERZr82wSnl44gAWdxuit3oLqwG1xyiE2WDLw?e=wUajDS</t>
  </si>
  <si>
    <t>E42</t>
  </si>
  <si>
    <t>Teaser do Colaboralab</t>
  </si>
  <si>
    <t>M1-P1.3-F1-R3-4</t>
  </si>
  <si>
    <t>https://unbbr.sharepoint.com/:v:/s/ITRAC-DITSSCMGI/IQCG-_GtViCkSKLi4EUcN4GaATpvHBOp0kqus2yGNBDQ2P0?e=vnnJW2</t>
  </si>
  <si>
    <t>E43</t>
  </si>
  <si>
    <t>Guia metodológico do Colaboralab</t>
  </si>
  <si>
    <t>M1-P1.3-F1-R3-5</t>
  </si>
  <si>
    <t>https://unbbr.sharepoint.com/:b:/s/ITRAC-DITSSCMGI/IQD8QrmgkIy8Qo60jLIEH1ZtAbd7q8MRniCjJIegCJsCKk8?e=vsTydu</t>
  </si>
  <si>
    <t>E44</t>
  </si>
  <si>
    <t>Apresentação institucional do Colaboralab</t>
  </si>
  <si>
    <t>M1-P1.3-F1-R3-6</t>
  </si>
  <si>
    <t>https://unbbr.sharepoint.com/:b:/s/ITRAC-DITSSCMGI/IQB7SkWmxYHVS7AuyxNpf6GsATbQQj3iToFCUPGftFI9b8I?e=5Skf6Z</t>
  </si>
  <si>
    <t>E45</t>
  </si>
  <si>
    <t>Painel I de indicadores do Colaboralab</t>
  </si>
  <si>
    <t>Colaboralab</t>
  </si>
  <si>
    <t>M1-P1.3-F1-R3-7</t>
  </si>
  <si>
    <t>https://unbbr.sharepoint.com/:i:/s/ITRAC-DITSSCMGI/IQBZvwgZlJOySoVI6kLPLNpNAUykkPVhqFZoaKHUL4SNSHk?e=bqMn8S</t>
  </si>
  <si>
    <t>E46</t>
  </si>
  <si>
    <t>Painel II de indicadores do Colaboralab</t>
  </si>
  <si>
    <t>M1-P1.3-F1-R3-8</t>
  </si>
  <si>
    <t>https://unbbr.sharepoint.com/:i:/s/ITRAC-DITSSCMGI/IQA1QiGxGQJiS5cefv8p-ddzARDYdVsXW3xBr2YAuSMB0Gg?e=JGgzCd</t>
  </si>
  <si>
    <t>E47</t>
  </si>
  <si>
    <t>Relatório de indicadores do Colaboralab</t>
  </si>
  <si>
    <t>M1-P1.3-F1-R3-9</t>
  </si>
  <si>
    <t>https://unbbr.sharepoint.com/:b:/s/ITRAC-DITSSCMGI/IQBMFYDElI2PTozzPGTe7Sr5AdX2aLAC2szYnNEdPK5FGek?e=ygVn6E</t>
  </si>
  <si>
    <t>E48</t>
  </si>
  <si>
    <t>HUB do Colaboralab no  MIRO</t>
  </si>
  <si>
    <t>M1-P1.3-F1-R3-10</t>
  </si>
  <si>
    <t>https://unbbr.sharepoint.com/:i:/s/ITRAC-DITSSCMGI/IQDckVxf-40yTIMo3fwtfFmSAY0HO9SS5NTLlfgDNi9eNb8?e=cI7GEZ</t>
  </si>
  <si>
    <t>E49</t>
  </si>
  <si>
    <t>Análise do formulário de pesquisa do uso de Ferramentas de IA</t>
  </si>
  <si>
    <t>M1-P1.3-F2-R3-1</t>
  </si>
  <si>
    <t>https://unbbr.sharepoint.com/:w:/s/ITRAC-DITSSCMGI/IQC9mK1T659LRa5p2HOkXBG2AX9hkGsR7mF3wZb4PnjCaFs?e=OQgGZ5</t>
  </si>
  <si>
    <t>E50</t>
  </si>
  <si>
    <t>Relatório dos resultados da pesquisa sobre o Uso de Ferramentas de IA e Automação na SSC</t>
  </si>
  <si>
    <t>M1-P1.3-F2-R3-2</t>
  </si>
  <si>
    <t>https://unbbr.sharepoint.com/:b:/s/ITRAC-DITSSCMGI/IQCqR6PSV5veQpHgjauNF5kdAUCi946lABt5lLFqQpyC9j4?e=rW3l1f</t>
  </si>
  <si>
    <t>E51</t>
  </si>
  <si>
    <t>Questionário - ciclo II-  Percepção sobre o Uso de Ferramentas de IA no Ambiente de Trabalho</t>
  </si>
  <si>
    <t>M1-P1.3-F2-R3-3</t>
  </si>
  <si>
    <t>https://unbbr.sharepoint.com/:b:/s/ITRAC-DITSSCMGI/IQAa4Fi-21M6T6nyPRwoNb0-AWGjRjKkcVwFg0JYli0YSDs?e=5uFzQX</t>
  </si>
  <si>
    <t>E52</t>
  </si>
  <si>
    <t>Relatório da “Oficina de Retrospectiva de 2025 e Diretrizes macro para 2026”.</t>
  </si>
  <si>
    <t>M1-P1.3-F3-R3-1</t>
  </si>
  <si>
    <t>https://unbbr.sharepoint.com/:b:/s/ITRAC-DITSSCMGI/IQBMY2yzYdVeR654QkjnAzYoAU42Yqz0E7Y0NAASMzBXWqg?e=A1cFgI</t>
  </si>
  <si>
    <t>E53</t>
  </si>
  <si>
    <t>MIRO-HUB-DTI (https://miro.com/app/dashboard/space/3458764646517790644)</t>
  </si>
  <si>
    <t>M1-P1.3-F3-R3-2</t>
  </si>
  <si>
    <t>https://unbbr.sharepoint.com/:i:/s/ITRAC-DITSSCMGI/IQDZPEefFhK8QK6NCmTBuMg-AXLgueT-9cxIjIeJQlx4ajM?e=BveJln</t>
  </si>
  <si>
    <t>E54</t>
  </si>
  <si>
    <t>EAP apoio ITRAC ao Colaboralab em 2026</t>
  </si>
  <si>
    <t>M1-P1.3-F3-R3-3</t>
  </si>
  <si>
    <t>https://unbbr.sharepoint.com/:x:/s/ITRAC-DITSSCMGI/IQA-yThAMgVVQ7h9EzdpHd37AXeNY3nq9CrTgf6APa2t0Ms?e=7ER3i8</t>
  </si>
  <si>
    <t>E55</t>
  </si>
  <si>
    <t>Relatório de oficina de alinhamento do ciclo 3 Splitgov - módulo orçamento</t>
  </si>
  <si>
    <t>M1-P1.3-F4-R3-1</t>
  </si>
  <si>
    <t>https://unbbr.sharepoint.com/:b:/s/ITRAC-DITSSCMGI/IQDUW4q5qtSNSba_AJ1tQG0RAcfRduh0syFr56nBdJkQqIk?e=EzvRWm</t>
  </si>
  <si>
    <t>E56</t>
  </si>
  <si>
    <t>Protótipos do ciclo 3</t>
  </si>
  <si>
    <t>M1-P1.3-F4-R3-2</t>
  </si>
  <si>
    <t>https://unbbr.sharepoint.com/:u:/s/ITRAC-DITSSCMGI/IQDYYKF6vJ0wQpfj1EymUD69ARgshHxvOpozZNRHhi9knb8?e=C0hvm6</t>
  </si>
  <si>
    <t>E57</t>
  </si>
  <si>
    <t>Relatório consolidado ciclo 3 de oficinas do Splitgov - módulo orçamento</t>
  </si>
  <si>
    <t>M1-P1.3-F4-R3-3</t>
  </si>
  <si>
    <t>https://unbbr.sharepoint.com/:b:/s/ITRAC-DITSSCMGI/IQDDq8x65GWoS4CSgsiY73ItAaRId6vUcklzeUChjHy6ekc?e=l5dtqR</t>
  </si>
  <si>
    <t>E58</t>
  </si>
  <si>
    <t>Codesign da estratégia de uso de Agentes de IA nos serviços digitais da SSC (https://miro.com/app/board/uXjVGZRYh-k=/)</t>
  </si>
  <si>
    <t>M1-P1.3-F6-R3-1</t>
  </si>
  <si>
    <t>https://unbbr.sharepoint.com/:b:/s/ITRAC-DITSSCMGI/IQDF0FsmgP4lSav_xNaLL-ZKAZVBSJcJ_8Vv6JoErmTFB8U?e=eXXByA</t>
  </si>
  <si>
    <t>E59</t>
  </si>
  <si>
    <t>Questionário para levantamento de inventário de agentes de IA</t>
  </si>
  <si>
    <t>M1-P1.3-F6-R3-2</t>
  </si>
  <si>
    <t>https://unbbr.sharepoint.com/:b:/s/ITRAC-DITSSCMGI/IQAM4SJWAISORLFbLA9Lf5YHAeIMrF3IDBB_ByK5nBygGOU?e=hkUMZr</t>
  </si>
  <si>
    <t>E60</t>
  </si>
  <si>
    <t>Guia de Agentes de IA para Serviços Públicos Digitais (versão em desenvolvimento)</t>
  </si>
  <si>
    <t>M1-P1.3-F6-R3-3</t>
  </si>
  <si>
    <t>https://unbbr.sharepoint.com/:b:/s/ITRAC-DITSSCMGI/IQBWC2z9lFefQZrgPl-pompDAXReb1XMhnIHvdXwtTaQvrk?e=niq80P</t>
  </si>
  <si>
    <t>E61</t>
  </si>
  <si>
    <t>Quadro de codesign da melhoria do serviço digital de patrimônio (https://miro.com/app/board/uXjVGZRYh-k=/)</t>
  </si>
  <si>
    <t>M1-P1.3-F7-R3-1</t>
  </si>
  <si>
    <t>https://unbbr.sharepoint.com/:b:/s/ITRAC-DITSSCMGI/IQCCsRo_pgztTLWdXrUW32LiAWRJan9uzwydBW0Q1SYCv1E?e=srxXlo</t>
  </si>
  <si>
    <t>E62</t>
  </si>
  <si>
    <t>Relatórios executivo e geral do 1º ciclo de oficinas de blueprint do serviço digital de patrimônio - parte 1</t>
  </si>
  <si>
    <t>M1-P1.3-F7-R3-2</t>
  </si>
  <si>
    <t>https://unbbr.sharepoint.com/:b:/s/ITRAC-DITSSCMGI/IQClKUQpe0-NTKKbzdpwcC-9ATG-xRZFmlhyp1uJuS_C1as?e=Ao1qHs</t>
  </si>
  <si>
    <t>E63</t>
  </si>
  <si>
    <t>Relatórios executivo e geral do 1º ciclo de oficinas de blueprint do serviço digital de patrimônio - parte 2</t>
  </si>
  <si>
    <t>M1-P1.3-F7-R3-3</t>
  </si>
  <si>
    <t>https://unbbr.sharepoint.com/:b:/s/ITRAC-DITSSCMGI/IQD5f9Ld-3TnQ7fsyhofYaMBARFYHu4BKn9Xk1mynCSiSZA?e=BZ6tr4</t>
  </si>
  <si>
    <t>E64</t>
  </si>
  <si>
    <t>Agile Trends 2026 - palestra sobre Design de Serviços Compartilhados para Redesenhar Serviços Públicos Digitais</t>
  </si>
  <si>
    <t>M1-P1.4-F17-R4-1</t>
  </si>
  <si>
    <t>https://unbbr.sharepoint.com/:b:/r/sites/ITRAC-DITSSCMGI/Material%20de%20Aula/Relat%C3%B3rios%20de%20Execu%C3%A7%C3%A3o%20F%C3%ADsica%20e%20de%20RCO%20-%20DTI/Novos%20Anexos/GOV26%20-%20Colaboralab%20-%20Flavio%20Feitosa%20e%20Vivi%20-%2015%2004%20v3%20-%20final.pdf?csf=1&amp;web=1&amp;e=bsIT6I</t>
  </si>
  <si>
    <t>E65</t>
  </si>
  <si>
    <t>PGC -  apoio ao projeto de melhoria dos sistemas estruturantes</t>
  </si>
  <si>
    <t>M1-P1.4-F4-R4-1</t>
  </si>
  <si>
    <t>https://unbbr.sharepoint.com/:b:/r/sites/ITRAC-DITSSCMGI/Material%20de%20Aula/Relat%C3%B3rios%20de%20Execu%C3%A7%C3%A3o%20F%C3%ADsica%20e%20de%20RCO%20-%20DTI/Novos%20Anexos/Relat%C3%B3rio_PGC.pdf?csf=1&amp;web=1&amp;e=d8VafR</t>
  </si>
  <si>
    <t>E66</t>
  </si>
  <si>
    <t>Relatório sobre o grupo focal realizado em 27/04/2026 sobre a funcionalidade Muda UASG do ComprasGov (online)</t>
  </si>
  <si>
    <t>M1-P1.4-F4-R4-2</t>
  </si>
  <si>
    <t>https://unbbr.sharepoint.com/:b:/s/ITRAC-DITSSCMGI/IQBBBXfpJSOmRZNUBIXYI2e-AZKJ-g6Lsd70xIfF8kFhe0g?e=0bLz6H</t>
  </si>
  <si>
    <t>E67</t>
  </si>
  <si>
    <t>Canvas do MVP do Agente de IA para terceirizados</t>
  </si>
  <si>
    <t>M1-P1.4-F5-R4-1</t>
  </si>
  <si>
    <t>https://unbbr.sharepoint.com/:b:/r/sites/ITRAC-DITSSCMGI/Material%20de%20Aula/Relat%C3%B3rios%20de%20Execu%C3%A7%C3%A3o%20F%C3%ADsica%20e%20de%20RCO%20-%20DTI/Novos%20Anexos/Canvas%20MVP%20-%20Agente%20de%20IA.pdf?csf=1&amp;web=1&amp;e=wGJ6JZ</t>
  </si>
  <si>
    <t>E68</t>
  </si>
  <si>
    <t>Relatório de Resultados 1º semestre 2026 &amp; Cocriando Roadmap para 2º semestre de 2026</t>
  </si>
  <si>
    <t>M1-P1.4-F1-R4-3</t>
  </si>
  <si>
    <t>https://unbbr.sharepoint.com/:b:/r/sites/ITRAC-DITSSCMGI/Material%20de%20Aula/Relat%C3%B3rios%20de%20Execu%C3%A7%C3%A3o%20F%C3%ADsica%20e%20de%20RCO%20-%20DTI/Anexos/META%201-%20OFICINAS%20COLABORATIVAS/PRODUTO1_4/Cocriando%20Roadmap%20para%202026_2.pdf?csf=1&amp;web=1&amp;e=gLHUMT</t>
  </si>
  <si>
    <t>E69</t>
  </si>
  <si>
    <t>Vídeo de Resultados dos projetos de Transformação Digital</t>
  </si>
  <si>
    <t>M1-P1.4-F10-R4-1</t>
  </si>
  <si>
    <t>https://unbbr.sharepoint.com/:v:/r/sites/ITRAC-DITSSCMGI/Material%20de%20Aula/Relat%C3%B3rios%20de%20Execu%C3%A7%C3%A3o%20F%C3%ADsica%20e%20de%20RCO%20-%20DTI/Novos%20Anexos/DTI-V%C3%ADdeo-V6.mp4?csf=1&amp;web=1&amp;e=CULJVM</t>
  </si>
  <si>
    <t>E70</t>
  </si>
  <si>
    <t>Análise de UX Compartilha Serviços Síntese executiva e recomendações Evidências qualitativas</t>
  </si>
  <si>
    <t>M1-P1.4-F18-R4-1</t>
  </si>
  <si>
    <t>https://unbbr.sharepoint.com/:b:/r/sites/ITRAC-DITSSCMGI/Material%20de%20Aula/Relat%C3%B3rios%20de%20Execu%C3%A7%C3%A3o%20F%C3%ADsica%20e%20de%20RCO%20-%20DTI/Anexos/META%201-%20OFICINAS%20COLABORATIVAS/PRODUTO1_4/Relat%C3%B3rio%20-%20UX%20Compartilha%20Servi%C3%A7os.pdf?d=w6a26c8b6ac874beb9184e1465ef474bf&amp;csf=1&amp;web=1&amp;e=85gZbU</t>
  </si>
  <si>
    <t>E71</t>
  </si>
  <si>
    <t>Guia de Agentes de IA para Serviços Públicos Digitais (versão mvp)</t>
  </si>
  <si>
    <t>https://unbbr.sharepoint.com/:b:/r/sites/ITRAC-DITSSCMGI/Documentos%20Compartilhados/General/Projetos%20e%20A%C3%A7%C3%B5es/Agentes%20de%20IA/Guia_Uso%20de%20Agentes%20de%20IA-MVP.pdf?d=w5e2bfaa60dfe4e9281b5bcc7d92393fb&amp;csf=1&amp;web=1&amp;e=JMvZEz</t>
  </si>
  <si>
    <t>E72</t>
  </si>
  <si>
    <t>RELATÓRIO TÉCNICO
Levantamento sobre o Uso e Desenvolvimento de Agentes de Inteligência Artificial (IA) na SSC/MGI</t>
  </si>
  <si>
    <t>M1-P1.4-F5-R4-2</t>
  </si>
  <si>
    <t>https://unbbr.sharepoint.com/:b:/r/sites/ITRAC-DITSSCMGI/Material%20de%20Aula/Relat%C3%B3rios%20de%20Execu%C3%A7%C3%A3o%20F%C3%ADsica%20e%20de%20RCO%20-%20DTI/Anexos-REF/META%201-%20OFICINAS%20COLABORATIVAS/PRODUTO1_4/Relatorio_Uso%20e%20Desenvolvimento%20de%20Agentes%20de%20IA.pdf?d=w683d55a832ff4a1f9bea95f9726d215e&amp;csf=1&amp;web=1&amp;e=6NIddU</t>
  </si>
  <si>
    <t>E73</t>
  </si>
  <si>
    <t>Versão 2.0 do Guia do Colaboralab, anexo do guia de handover</t>
  </si>
  <si>
    <t>M1-P1.4-F1-R4-2</t>
  </si>
  <si>
    <t>E74</t>
  </si>
  <si>
    <t>Treinamento FIGMA , MIRO e design system</t>
  </si>
  <si>
    <t>https://unbbr.sharepoint.com/:f:/r/sites/ITRAC-DITSSCMGI/Material%20de%20Aula/Relat%C3%B3rios%20de%20Execu%C3%A7%C3%A3o%20F%C3%ADsica%20e%20de%20RCO%20-%20DTI/Novos%20Anexos/Treinamento%20FIGMA%20e%20MIRO?d=w35953be881c045a9922d4e6f416d9603&amp;csf=1&amp;web=1&amp;e=FnbVsp</t>
  </si>
  <si>
    <t>E75</t>
  </si>
  <si>
    <t>2º ciclo - Contratos Gov - Protótipo 1-  apoio ao projeto de melhoria dos sistemas estruturantes</t>
  </si>
  <si>
    <t>M1-P1.4-F2-R4-2</t>
  </si>
  <si>
    <t>https://unbbr.sharepoint.com/:b:/r/sites/ITRAC-DITSSCMGI/Material%20de%20Aula/Relat%C3%B3rios%20de%20Execu%C3%A7%C3%A3o%20F%C3%ADsica%20e%20de%20RCO%20-%20DTI/Novos%20Anexos/Relat%C3%B3rio%20-%20Contratos%20ciclo%202%20-%20set%202026.pdf?d=wce106b66243d4b03af236756a582b2e0&amp;csf=1&amp;web=1&amp;e=KVsa13</t>
  </si>
  <si>
    <t>E76</t>
  </si>
  <si>
    <t>Splitgov - Avaliação de Percepção e Engajamento da Equipe</t>
  </si>
  <si>
    <t>M1-P1.4-F3-R4-1</t>
  </si>
  <si>
    <t>https://unbbr.sharepoint.com/:b:/r/sites/ITRAC-DITSSCMGI/Material%20de%20Aula/Relat%C3%B3rios%20de%20Execu%C3%A7%C3%A3o%20F%C3%ADsica%20e%20de%20RCO%20-%20DTI/Novos%20Anexos/Relat%C3%B3rio_Tecnico_Splitgov.pdf?d=w42587044469242af975dd9a9574c4c1f&amp;csf=1&amp;web=1&amp;e=YZOd4R</t>
  </si>
  <si>
    <t>E77</t>
  </si>
  <si>
    <t>Guia de Agentes de IA para Serviços Públicos Digitais (versão final)</t>
  </si>
  <si>
    <t>https://unbbr.sharepoint.com/:b:/r/sites/ITRAC-DITSSCMGI/Material%20de%20Aula/Relat%C3%B3rios%20de%20Execu%C3%A7%C3%A3o%20F%C3%ADsica%20e%20de%20RCO%20-%20DTI/Novos%20Anexos/Guia_Uso%20de%20Agentes%20de%20IA-V4.pdf?d=w61f31c8ce153499eac2473acc5a95dd5&amp;csf=1&amp;web=1&amp;e=bu580V</t>
  </si>
  <si>
    <t>E78</t>
  </si>
  <si>
    <t>Oficina 01 - Catálogo de Serviços</t>
  </si>
  <si>
    <t>Relatório - Catalogo de Serviços.pdf</t>
  </si>
  <si>
    <t>E79</t>
  </si>
  <si>
    <t>Protótipo do Projeto gestão de PPF's</t>
  </si>
  <si>
    <t>M1-P1.4-F6-R4-1</t>
  </si>
  <si>
    <t>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rG1omq</t>
  </si>
  <si>
    <t>E80</t>
  </si>
  <si>
    <t>Testes com usuários - Power Apps</t>
  </si>
  <si>
    <t>M1-P1.4-F6-R4-2</t>
  </si>
  <si>
    <t>Relatório - Oficina CGFIN-POWER APP .pdf</t>
  </si>
  <si>
    <t>E81</t>
  </si>
  <si>
    <t xml:space="preserve">Alinhamento Projeto gestão de PPF's - CGFIN-DTI-Validação de aplicativo - tela do repassador 
</t>
  </si>
  <si>
    <t>M1-P1.4-F7-R4-1</t>
  </si>
  <si>
    <t>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8hSFEJ</t>
  </si>
  <si>
    <t>E82</t>
  </si>
  <si>
    <t xml:space="preserve">OFICINA MEMP/DREI
Construção do protótipo Conceitual do módulo de normas de baixo risco
</t>
  </si>
  <si>
    <t>M1-P1.2-F1-R4-1</t>
  </si>
  <si>
    <t>https://unbbr.sharepoint.com/:b:/r/sites/ITRAC-DITSSCMGI/Material%20de%20Aula/Relat%C3%B3rios%20de%20Execu%C3%A7%C3%A3o%20F%C3%ADsica%20e%20de%20RCO%20-%20DTI/Novos%20Anexos/Relat%C3%B3rio%20-%20Oficina%20MEMP_DREI_Prot%C3%B3tipo_VF.pdf?d=w35b261f3eb4249bba84d2749485fcba0&amp;csf=1&amp;web=1&amp;e=TLwDcw</t>
  </si>
  <si>
    <t>E83</t>
  </si>
  <si>
    <t xml:space="preserve">Material da Oficina sobre Agentes de IA para Serviços Públicos Digitais </t>
  </si>
  <si>
    <t>M1-P1.4-F4-R4-3</t>
  </si>
  <si>
    <t>https://unbbr.sharepoint.com/:b:/r/sites/ITRAC-DITSSCMGI/Material%20de%20Aula/Relat%C3%B3rios%20de%20Execu%C3%A7%C3%A3o%20F%C3%ADsica%20e%20de%20RCO%20-%20DTI/Novos%20Anexos/ITRAC___Relat%C3%B3rio_T%C3%A9cnico_Agentes.pdf?d=w6a533272f35f49279c73c00652049483&amp;csf=1&amp;web=1&amp;e=fBYWuq</t>
  </si>
  <si>
    <t>E84</t>
  </si>
  <si>
    <t>Versão 3.0 do Guia do Colaboralab, com bússola de DS</t>
  </si>
  <si>
    <t>https://unbbr.sharepoint.com/:b:/r/sites/ITRAC-DITSSCMGI/Material%20de%20Aula/Relat%C3%B3rios%20de%20Execu%C3%A7%C3%A3o%20F%C3%ADsica%20e%20de%20RCO%20-%20DTI/Novos%20Anexos/Guia%20ColaboraLab_VF3.pdf?d=w5a8544c3fd964d6b97a29305f1820223&amp;csf=1&amp;web=1&amp;e=gIFMEI</t>
  </si>
  <si>
    <t>E85</t>
  </si>
  <si>
    <t>Customização da Bússola de DS para o Colaboralab</t>
  </si>
  <si>
    <t>M1-P1.4-F1-R4-4</t>
  </si>
  <si>
    <t>https://sites.itrac.unb.br/bussola-ds/dti/</t>
  </si>
  <si>
    <t>Titulo</t>
  </si>
  <si>
    <t>Tipo</t>
  </si>
  <si>
    <t>Nome do Evento ou Revista</t>
  </si>
  <si>
    <t>Abrangência</t>
  </si>
  <si>
    <t>Qualis</t>
  </si>
  <si>
    <t>Data de Submissão</t>
  </si>
  <si>
    <t>Data de Publicação</t>
  </si>
  <si>
    <t>DOI</t>
  </si>
  <si>
    <t>Beyond the Interface: Usability and Value Creation in the Public Services Ecosystem</t>
  </si>
  <si>
    <t>Conferência</t>
  </si>
  <si>
    <t>Simpósio Brasileiro sobre Fatores Humanos em Sistemas Computacionais (IHC)</t>
  </si>
  <si>
    <t>Nacional</t>
  </si>
  <si>
    <t>Publicado</t>
  </si>
  <si>
    <t>10.5753/ihc.2025.10813</t>
  </si>
  <si>
    <t>https://sol.sbc.org.br/index.php/ihc/article/view/37653</t>
  </si>
  <si>
    <t>Institutional Capacity and Public Servants’ Adoption of Generative AI in the Public Sector: Evidence from Brazil’s Federal Government</t>
  </si>
  <si>
    <t xml:space="preserve"> International Conference on Digital Government Research (dg.o)</t>
  </si>
  <si>
    <t>Internacional</t>
  </si>
  <si>
    <t>Aceito</t>
  </si>
  <si>
    <t>https://unbbr.sharepoint.com/:f:/s/ITRAC-DITSSCMGI/IgC28xg3Y91GRY5E23A2G5KbATUzaxtPOqVRab96bVQ5954?e=L08kJA</t>
  </si>
  <si>
    <t>Planejamento Integrado e Cultura Colaborativa: Lições de uma Imersão em Design de Serviços Públicos</t>
  </si>
  <si>
    <t>Recusado</t>
  </si>
  <si>
    <t>Beyond the Interface: Usability as an Engine for Value Creation in the Public Service Ecosystem</t>
  </si>
  <si>
    <t>Periódico</t>
  </si>
  <si>
    <t>Journal on Interactive Systems</t>
  </si>
  <si>
    <t>10.5753/jis.2026.7067</t>
  </si>
  <si>
    <t>https://journals-sol.sbc.org.br/index.php/jis/article/view/7067</t>
  </si>
  <si>
    <t>Exploratory Study Of Quality Attributes In Brazilian Digital Public Services</t>
  </si>
  <si>
    <t>Revista de Gestão Social e Ambiental (RGSA)</t>
  </si>
  <si>
    <t>C</t>
  </si>
  <si>
    <t>doi.org/10.24857/rgsa.v19n4-068</t>
  </si>
  <si>
    <t>https://rgsa.openaccesspublications.org/rgsa/article/view/11941/6505</t>
  </si>
  <si>
    <t>Evaluating Digital Public Services in Brazil: Insights from Federal Managers</t>
  </si>
  <si>
    <t>Journal on Interactive Systems (JIS)</t>
  </si>
  <si>
    <t>Submetido</t>
  </si>
  <si>
    <t>Exploring the Role of Service Design in Software Development: A Systematic Mapping</t>
  </si>
  <si>
    <t>International Conference on Evaluation of Novel Approaches to Software Engineering (ENASE)</t>
  </si>
  <si>
    <t>10.5220/0013257300003928</t>
  </si>
  <si>
    <t>https://www.scitepress.org/Papers/2025/132573/132573.pdf</t>
  </si>
  <si>
    <t>Integration of User-Centered Design into the Scrumban Framework: A Case Study on the Groovoo Platform</t>
  </si>
  <si>
    <t>International Conference on Enterprise Information Systems (ICEIS)</t>
  </si>
  <si>
    <t>10.5220/0013449100003929</t>
  </si>
  <si>
    <t>https://www.scitepress.org/Papers/2025/134491/134491.pdf</t>
  </si>
  <si>
    <t>Fast Track for Collaborative Solutions: A Methodology for Public Service Design Workshops Supported by LLMs</t>
  </si>
  <si>
    <t>International Conference on Digital Government Research (dg.o)</t>
  </si>
  <si>
    <t>10.59490/dgo.2025.1061</t>
  </si>
  <si>
    <t>https://proceedings.open.tudelft.nl/DGO2025/article/view/1061</t>
  </si>
  <si>
    <t>Reflections on Collaborative Design: Lessons from Creating a Digital Public Service App</t>
  </si>
  <si>
    <t>10.59490/dgo.2025.1044</t>
  </si>
  <si>
    <t>https://proceedings.open.tudelft.nl/DGO2025/article/view/1044</t>
  </si>
  <si>
    <t>Digital Public Service Evaluation in Brazil: Federal Managers: Perspectives and Improvement Opportunities</t>
  </si>
  <si>
    <t>Latin American Symposium on Digital Government (LASDiGov)</t>
  </si>
  <si>
    <t>10.5753/lasdigov.2025.8750</t>
  </si>
  <si>
    <t>https://sol.sbc.org.br/index.php/wcge/article/view/36323</t>
  </si>
  <si>
    <t>Nível</t>
  </si>
  <si>
    <t>Discente</t>
  </si>
  <si>
    <t>Orientador</t>
  </si>
  <si>
    <t>Inicio</t>
  </si>
  <si>
    <t>Fim</t>
  </si>
  <si>
    <t>Bolsista</t>
  </si>
  <si>
    <t>IC</t>
  </si>
  <si>
    <t>Ana Júlia Mendes Santos</t>
  </si>
  <si>
    <t>Rejane Maria da Costa Figueiredo</t>
  </si>
  <si>
    <t>Sim</t>
  </si>
  <si>
    <t>https://unbbr.sharepoint.com/:b:/s/ITRAC-DITSSCMGI/IQAJr-ys-JQpQY8nWHK2ZkD_ATusSh4AFtS30tVykgh-v6E?e=vdLSDM</t>
  </si>
  <si>
    <t>André Cláudio Maia da Cunha</t>
  </si>
  <si>
    <t>Em andamento</t>
  </si>
  <si>
    <t>https://unbbr.sharepoint.com/:b:/s/ITRAC-DITSSCMGI/IQA09pHapx3XR58-l41V_ZKrAWwxXV4sz6vGAZMjqG52iic?e=gdDra3</t>
  </si>
  <si>
    <t>Manuella Magalhães Valadares</t>
  </si>
  <si>
    <t>Caio Lucas Messias Sabino</t>
  </si>
  <si>
    <t>https://unbbr.sharepoint.com/:b:/s/ITRAC-DITSSCMGI/IQBrXtXxYgdNQIgt0zkXOTpFAR0ig0wUUg2JQ4O3KJhcuNc?e=7Rtcra</t>
  </si>
  <si>
    <t>Henrique Pucci da Silva Pinto</t>
  </si>
  <si>
    <t>https://unbbr.sharepoint.com/:b:/s/ITRAC-DITSSCMGI/IQC2h1CFp_bET6Ir9zxZAEy-AcyC_rhhDmtxBLXBvSkmjzU?e=Hlj4Kw</t>
  </si>
  <si>
    <t>Júlia Rocha Fortunato</t>
  </si>
  <si>
    <t>https://unbbr.sharepoint.com/:b:/s/ITRAC-DITSSCMGI/IQBEI-Gzv_urRrQfP5O1QRwCAdMKM_FwDhY_Ze_5hUKIbMQ?e=qJiu0r</t>
  </si>
  <si>
    <t>Lucas Castello Branco Judice</t>
  </si>
  <si>
    <t>https://unbbr.sharepoint.com/:b:/s/ITRAC-DITSSCMGI/IQBdkfBzu4UAToa511bYOEhYAbbEMghx6tiONE_qFewzyvE?e=vpcf4L</t>
  </si>
  <si>
    <t>Maria Eduarda Barbosa Santos</t>
  </si>
  <si>
    <t>https://unbbr.sharepoint.com/:b:/s/ITRAC-DITSSCMGI/IQCqdN43LPa5Rb1fyF12YdXxAdT_ey0MykPIjFDuJZQjtSs?e=wd1mpu</t>
  </si>
  <si>
    <t>Estágio</t>
  </si>
  <si>
    <t xml:space="preserve">João Henrique Marques </t>
  </si>
  <si>
    <t>John Lenon Cardoso Gardenghi</t>
  </si>
  <si>
    <t>Não</t>
  </si>
  <si>
    <t>https://unbbr.sharepoint.com/:b:/s/ITRAC-DITSSCMGI/IQBBTS4lrS6BQLL4BPb5tUi3AftNoDqBh5whOLGsc7yR67U?e=ZwzAME</t>
  </si>
  <si>
    <t>Voluntário</t>
  </si>
  <si>
    <t xml:space="preserve">José Luis Ramos Teixeira </t>
  </si>
  <si>
    <t>https://unbbr.sharepoint.com/:b:/s/ITRAC-DITSSCMGI/IQAWMo5wqYcvTbecIttziJJeASIoLhWJDaTpuFsd7wQjygg?e=nv4Oge</t>
  </si>
  <si>
    <t>Marcos Vinícius de Deus</t>
  </si>
  <si>
    <t>https://unbbr.sharepoint.com/:b:/s/ITRAC-DITSSCMGI/IQBo_8qAgl4rQI-KaqBgaGQyAWY-K9qAogq8EiN-3fW6Ung?e=N5B9hN</t>
  </si>
  <si>
    <t>Ludmila Aysha Oliveira Nunes</t>
  </si>
  <si>
    <t>https://unbbr.sharepoint.com/:b:/s/ITRAC-DITSSCMGI/IQAteoBiKuoFTr93miVYW0D3AWYuTi1I5fQcFlFUt32H9nU?e=EDeSzf</t>
  </si>
  <si>
    <t>https://unbbr.sharepoint.com/:b:/s/ITRAC-DITSSCMGI/IQCZow50GLtWS5BPU4yYG--sAT79v2_AeCxyj3PnmIhB7NM?e=ss46KR</t>
  </si>
  <si>
    <t>TCC1</t>
  </si>
  <si>
    <t xml:space="preserve">Marcos Vinícius de Deus </t>
  </si>
  <si>
    <t>Ana Beatriz Wanderley Massuh</t>
  </si>
  <si>
    <t>TCC2</t>
  </si>
  <si>
    <t>Evento</t>
  </si>
  <si>
    <t>Local</t>
  </si>
  <si>
    <t>Pesquisador</t>
  </si>
  <si>
    <t>IHC 2025</t>
  </si>
  <si>
    <t>Belo Horizonte</t>
  </si>
  <si>
    <t>8 a 10 de setembro de 2025</t>
  </si>
  <si>
    <t>INTERACT 2025</t>
  </si>
  <si>
    <t>7 a 12 de setembro de 2025</t>
  </si>
  <si>
    <t>DGo 2026</t>
  </si>
  <si>
    <t>Omaha, EUA</t>
  </si>
  <si>
    <t>1 a 4 de junho de 2026</t>
  </si>
  <si>
    <t>Edna Dias Canedo</t>
  </si>
  <si>
    <t>Agiletrends GOV</t>
  </si>
  <si>
    <t>Brasília</t>
  </si>
  <si>
    <t>15 de abril de 2026</t>
  </si>
  <si>
    <t>Flávio Feitosa Costa</t>
  </si>
  <si>
    <t>ID_Oficina</t>
  </si>
  <si>
    <t>ID_Frente</t>
  </si>
  <si>
    <t>Oficina Realizada</t>
  </si>
  <si>
    <t>Formato</t>
  </si>
  <si>
    <t>Data de Realização</t>
  </si>
  <si>
    <t>Objetivos</t>
  </si>
  <si>
    <t>Serviço estruturante</t>
  </si>
  <si>
    <t>Pesquisadores Condutores</t>
  </si>
  <si>
    <t>Pesquisadores Envolvidos</t>
  </si>
  <si>
    <t>Estudantes</t>
  </si>
  <si>
    <t>Qtde de pesquisadores envolvidos</t>
  </si>
  <si>
    <t>Qtde de Participantes (externos UnB)</t>
  </si>
  <si>
    <t>Dias Totais da Oficina</t>
  </si>
  <si>
    <t>Horas Totais da Oficina</t>
  </si>
  <si>
    <t>Qtde de Áreas/Setores Envolvidos</t>
  </si>
  <si>
    <t>Qtde de Processos Transformados</t>
  </si>
  <si>
    <t>Qtde de Protótipos Desenvolvidos</t>
  </si>
  <si>
    <t>Qtde de Testes com Usuários Realizados</t>
  </si>
  <si>
    <t>Qtde de Teasers Produzidos</t>
  </si>
  <si>
    <t>O1</t>
  </si>
  <si>
    <t>Design de Serviços para Central Unificada de Relacionamento</t>
  </si>
  <si>
    <t>Remoto</t>
  </si>
  <si>
    <t>18/12/2024, 20/12/2024, 22/01/2025, 24/01/2025</t>
  </si>
  <si>
    <t>A Oficina de Design de Serviço da Central Unificada de Relacionamento teve como principal objetivo discutir e propor soluções para a modernização do atendimento ao público dentro dos serviços governamentais.</t>
  </si>
  <si>
    <t>RelacionaGov</t>
  </si>
  <si>
    <t>Wander Cleber; John Lenon</t>
  </si>
  <si>
    <t>Giovana Galvão; Paula Emilyn</t>
  </si>
  <si>
    <t>Maria Eduarda Barbosa; Maria Eduarda S. Marques; Vitor Feijó</t>
  </si>
  <si>
    <t>O2</t>
  </si>
  <si>
    <t>Oficina de Design de Serviços - Compras.Gov (1° ciclo) - alinhamento de expectativas</t>
  </si>
  <si>
    <t>Presencial</t>
  </si>
  <si>
    <t>28/01/2025, 29/01/2025, 26/02/2025</t>
  </si>
  <si>
    <t>Os objetivos gerais da oficina são: alinhar necessidades do sistema atual e fazer um sistema seguro e escalável, que atenda às necessidades dos usuários. Realizar testes de usabilidade nos grupos em cima de protótipos criados para a solução estabelecida nas oficinas anteriores.</t>
  </si>
  <si>
    <t>ComprasGov</t>
  </si>
  <si>
    <t>Marcelo Judice; Andrea Judice</t>
  </si>
  <si>
    <t>Giovana Galvão; Maíra; Paula Emilyn; Rejane</t>
  </si>
  <si>
    <t>Marcos Vinicius    Henrique Pucci       Manuela Valadares      Vitor Feijó</t>
  </si>
  <si>
    <t>O4</t>
  </si>
  <si>
    <t>Oficina de Codesign para Rateio</t>
  </si>
  <si>
    <t>Identificar as necessidas e definição dos próximos passos para a construção de uma solução que otimize o processo de rateio de despesas dentro da SSC, utilizando abordagem de DS.</t>
  </si>
  <si>
    <t>SplitGov</t>
  </si>
  <si>
    <t xml:space="preserve">Andrea Judice; Giovana Galvão; Marcelo Judice; Paula Emilyn          </t>
  </si>
  <si>
    <t> -</t>
  </si>
  <si>
    <t>O5</t>
  </si>
  <si>
    <t xml:space="preserve">Oficina Estratégica de Imersão Organizacional em Design de Serviços Digitais - Oficina interna DTI de Design de Serviços (Coordenadores Táticos) </t>
  </si>
  <si>
    <t>27/03/2025 e 14/05/2025</t>
  </si>
  <si>
    <t>Diagnosticar desafios e oportunidades da organização, identificando prioridades para ações futuras em Design de Serviços digitais. ​</t>
  </si>
  <si>
    <t xml:space="preserve">Andrea Judice; Flávio Feitosa; Marcelo Judice       </t>
  </si>
  <si>
    <t xml:space="preserve">Giovana Galvão; Paula Emilyn; Rejane Figueiredo          </t>
  </si>
  <si>
    <t>O7</t>
  </si>
  <si>
    <t>Oficina de Re-Design de Serviço Rateio/Splitgov</t>
  </si>
  <si>
    <t xml:space="preserve">O encontro teve como objetivo construir uma visão compartilhada sobre o processo de rateio e seus desafios, como etapa inicial de um ciclo de três oficinas, fortalecendo práticas de design de serviços e coconstrução com os usuários internos. </t>
  </si>
  <si>
    <t>Giovana Galvão</t>
  </si>
  <si>
    <t>O8</t>
  </si>
  <si>
    <t xml:space="preserve">Codesign de Letramento de IA </t>
  </si>
  <si>
    <t>Apoiar a Secretaria no processo de estruturar e direcionar a iniciativa de letramento em Inteligência Artificial (IA).</t>
  </si>
  <si>
    <t>IA</t>
  </si>
  <si>
    <t>Elaine Venson; Glauco Pedrosa</t>
  </si>
  <si>
    <t xml:space="preserve">Giovana Galvão; Paula Emilyn        </t>
  </si>
  <si>
    <t>-</t>
  </si>
  <si>
    <t>O9</t>
  </si>
  <si>
    <t>SplitGov - Oficina 1 do Ciclo 2 - aprimoramento do SplitGov</t>
  </si>
  <si>
    <t>Realizar uma avaliação dos módulos já implementados do SplitGov por parte dos usuários internos.</t>
  </si>
  <si>
    <t>John Lenon; Glauco Pedrosa</t>
  </si>
  <si>
    <t xml:space="preserve">André Claudio Maia; Manuela Valadares </t>
  </si>
  <si>
    <t>O10</t>
  </si>
  <si>
    <t>ColaboraHub  - Oficina Jornada Informacional</t>
  </si>
  <si>
    <t>Os objetivos são: mapear necessidades informacionais por perfil de usuário do ColaboraHub, testar uma metodologia replicável de design de jornada informacional com dados reais, prototipar a narrativa visual para um caso de uso específico da plataforma, coletar percepções espontâneas dos usuários sobre dúvidas, desejos e obstáculos em relação ao ColaboraHub e gerar isumos para o backlog de desenvolvimento do ColaboraHub</t>
  </si>
  <si>
    <t>Jonh Lenon (Prime)      Glauco Vitor        Marcelo Judice</t>
  </si>
  <si>
    <t xml:space="preserve">Ana Julia Mendes      André Claudio Maia        Manuela Valadares </t>
  </si>
  <si>
    <t>O11</t>
  </si>
  <si>
    <t>Oficina SplitGov - orçamento</t>
  </si>
  <si>
    <t>04/07/2025, 09/07/2025</t>
  </si>
  <si>
    <t>Cocriar, com base nas experiências e dores dos usuários reais (internos e externos), soluções para o módulo “Orçamento” no SplitGov.</t>
  </si>
  <si>
    <t>Glauco Vitor; Wander Cleber</t>
  </si>
  <si>
    <t xml:space="preserve">Giovana Galvão                                      Paula Emilyn     </t>
  </si>
  <si>
    <t xml:space="preserve">Ana Julia Mendes      André Claudio Maia        João Henrique        Manuela Valadares </t>
  </si>
  <si>
    <t>O12</t>
  </si>
  <si>
    <t>Oficina 1 de Backlog do Splitgov-orçamento</t>
  </si>
  <si>
    <t>23/07/2025; 29/07/2025 e 01/09/2025</t>
  </si>
  <si>
    <t>Os objetivos gerais da oficina são: apresentar uma panorama geral do serviço, mostrar impactos esperados e realizar o alinhamento do serviço com políticas públicas e metas governamentais.</t>
  </si>
  <si>
    <t xml:space="preserve"> Wander Cleber; Flavio Costa</t>
  </si>
  <si>
    <t xml:space="preserve">Giovana Galvão                                      Paula Emilyn  </t>
  </si>
  <si>
    <t>O15</t>
  </si>
  <si>
    <t xml:space="preserve"> Oficina RelacionaGov</t>
  </si>
  <si>
    <t>Hibrida</t>
  </si>
  <si>
    <t>22/08/2025 (presencial), 27/08/2025 (online),  04/09/2025 (hibrido), 11/09/2025 (online), 17/09/2025 (online), 25/09/2025 (hibrido)</t>
  </si>
  <si>
    <t>A oficina teve como objetivo discutir a evolução e integração do RelacionaGov, plataforma unificada de Contact Center para serviços públicos. Foram abordados aspectos de arquitetura tecnológica, governança, requisitos funcionais e não funcionais, bem como desafios de atendimento e execução contratual pelas secretarias.​</t>
  </si>
  <si>
    <t>Paula Emilyn; Giovana Galvão</t>
  </si>
  <si>
    <t> </t>
  </si>
  <si>
    <t>O17</t>
  </si>
  <si>
    <t>SplitGov - Diagnóstico de Usabilidade e Recomendações</t>
  </si>
  <si>
    <t xml:space="preserve"> Levantar melhorias no sistema com base na observação e nos relatos dos usuários, organizando os apontamentos em duas perspectivas: UX/UI e Questões de Negócio.</t>
  </si>
  <si>
    <t>O21</t>
  </si>
  <si>
    <t>Oficina de Melhorias dos Sistemas Estruturantes - Ciclo 2 -Contratos - Refinamento protótipo 1 e 2 - Sistema Contratos (SEGES) - Continuação</t>
  </si>
  <si>
    <t>09/02/2026, 10/02/2026, 04/03/2026, 17/03/2026, 01/04/2026</t>
  </si>
  <si>
    <t>Continuação da Oficina ID = O24 - Oficina de Melhorias dos Sistemas Estruturantes - Ciclo 2 -Contratos. OBS: entrega prevista</t>
  </si>
  <si>
    <t>Contratos</t>
  </si>
  <si>
    <t>Andrea Judice; Marcelo Judice</t>
  </si>
  <si>
    <t>Giovana Galvão                                    Paula Emilyn</t>
  </si>
  <si>
    <t>O24</t>
  </si>
  <si>
    <t>Oficina de Melhorias dos Sistemas Estruturantes - Ciclo 2 -Contratos</t>
  </si>
  <si>
    <t>23/09/2025 (presencial), 24/09/2025 (presencial), 26/09/2025, 29/09/2025, 30/09/2025, 07/10/2025, 08/10/2025, 15/10/2025, 17/10/2025, 13/11/2025, 10/12/2025, 18/12/2025</t>
  </si>
  <si>
    <t>Os objetivos da oficina são: alinhar necessidades do sistema atual​, fazer um sistema que atenda às necessidades dos usuários, que seja seguro e escalável</t>
  </si>
  <si>
    <t>O25</t>
  </si>
  <si>
    <t>Oficina RelacionaGov</t>
  </si>
  <si>
    <t>02/10/2025, 16/10/2025, 23/10/2025</t>
  </si>
  <si>
    <t>Oficinas de acompanhamento do roadmap criado na oficina O15. Sem relatório</t>
  </si>
  <si>
    <t>O26</t>
  </si>
  <si>
    <t xml:space="preserve"> Oficina SplitGov: Reunião de Alinhamento</t>
  </si>
  <si>
    <t>08/10/2025 e 22/10/2025</t>
  </si>
  <si>
    <t>A oficina teve como objetivo consolidar o entendimento coletivo sobre a evolução do módulo de orçamento do sistema SplitGov, promovendo alinhamento entre equipes técnicas, acadêmicas e de gestão orçamentária do MGI e da UnB/ITRAC. Durante o encontro, foram realizadas apresentações, discussões técnicas e uma dinâmica participativa baseada na metodologia 5W2H, com priorização dos próximos passos do projeto.</t>
  </si>
  <si>
    <t xml:space="preserve">Giovana Galvão                           </t>
  </si>
  <si>
    <t>O28</t>
  </si>
  <si>
    <t>Splitgov. - Alinhamento e Ação - Continuacao Oficina ID = O26</t>
  </si>
  <si>
    <t>14/10/2025, 16/10/2025, 23/10/2025, 28/10/2025, 30/10/2025, 11/11/2025, 13/11/2025, 18/11/2025, 25/11/2025, 27/11/2025, 01/12/2025, 03/12/2025, 04/12/2025</t>
  </si>
  <si>
    <t xml:space="preserve">Giovana Galvão                                    Paula Emilyn (ouvinte) </t>
  </si>
  <si>
    <t>O33</t>
  </si>
  <si>
    <t>Patrimônio BluePrint</t>
  </si>
  <si>
    <t>05/02/2026, 19/02/2026</t>
  </si>
  <si>
    <t>Construir, de forma colaborativa, um blueprint do serviço atual de gestão de bens móveis, para gerar entendimento comum sobre como o serviço funciona hoje, explicitar problemas e oportunidades e definir um plano de ação com melhorias prioritárias de curto e médio prazo.​</t>
  </si>
  <si>
    <t>Patrimônio</t>
  </si>
  <si>
    <t>Elaine Venson</t>
  </si>
  <si>
    <t>Paula Emilyn</t>
  </si>
  <si>
    <t>Henrique                    André</t>
  </si>
  <si>
    <t>O34</t>
  </si>
  <si>
    <t>Consolidação de Propostas e Prototipação do PGC</t>
  </si>
  <si>
    <t>19/02/2026, 20/02/2026, 06/03/2026</t>
  </si>
  <si>
    <t>Construir protótipos das funcionalidades críticas para a equipe. Alinhamento com a SEGES para colocar no RoadMap as soluções apresentadas no protótipo.</t>
  </si>
  <si>
    <t>Giovanna Galvão</t>
  </si>
  <si>
    <t>O35</t>
  </si>
  <si>
    <t>Codesign da estratégia de uso de Agentes de IA nos serviços digitais da SSC</t>
  </si>
  <si>
    <t>Apoiar a Secretaria no processo de estruturar e direcionar o uso de Agentes de IA</t>
  </si>
  <si>
    <t>O36</t>
  </si>
  <si>
    <t>Alinhamento Ecossistema Digital da SSC</t>
  </si>
  <si>
    <t>Alinhamento sobre a definição do ecossistema de serviços digitais da SSC</t>
  </si>
  <si>
    <t>Ecossistema</t>
  </si>
  <si>
    <t>O37</t>
  </si>
  <si>
    <t>Palestra Colaboralab Agile Trend</t>
  </si>
  <si>
    <t>Flávio Feitosa</t>
  </si>
  <si>
    <t>O38</t>
  </si>
  <si>
    <t>Prototipação Contratosgov</t>
  </si>
  <si>
    <t>2ºciclo - Contratos Gov - Protótipo - apoio ao projeto de melhoria dos sistemas estruturantes</t>
  </si>
  <si>
    <t>O39</t>
  </si>
  <si>
    <t>Grupo Focal - Funcionalidade MudaUASG do ComprasGov</t>
  </si>
  <si>
    <t>Coletar percepções sobre a nova funcionalidade Muda UASG do ComprasGov</t>
  </si>
  <si>
    <t>Wander Cleber; Glauco Pedrosa</t>
  </si>
  <si>
    <t>O40</t>
  </si>
  <si>
    <t>Testes ComprasGov</t>
  </si>
  <si>
    <t>Avaliação de Qualidade Pós Produção - Muda UG (ComprasGov)</t>
  </si>
  <si>
    <t>O41</t>
  </si>
  <si>
    <t>O42</t>
  </si>
  <si>
    <t>Compartilha Serviços-  Testes com usuários</t>
  </si>
  <si>
    <t>CompartilhaServiços</t>
  </si>
  <si>
    <t>O43</t>
  </si>
  <si>
    <t>Encontro trimestral de análise de resultados e planejamento do projeto p/ o próximo ciclo</t>
  </si>
  <si>
    <t>Flávio Feitosa, Andrea Judice; Marcelo Judice</t>
  </si>
  <si>
    <t>O44</t>
  </si>
  <si>
    <t>A oficina utilizou ferramentas e metodologias inclusivas de forma adequada</t>
  </si>
  <si>
    <t>A atuação do(s) facilitador(es) foi satisfatória</t>
  </si>
  <si>
    <t>Os participantes se envolveram ativamente nas atividades propostas durante a oficina</t>
  </si>
  <si>
    <t>A oficina promoveu a interação entre as diferentes áreas/setores participantes</t>
  </si>
  <si>
    <t>A oficina alcançou os objetivos propostos</t>
  </si>
  <si>
    <t>Projeto</t>
  </si>
  <si>
    <t>Dimensao_1</t>
  </si>
  <si>
    <t>Achados_1</t>
  </si>
  <si>
    <t>Avaliacao_1</t>
  </si>
  <si>
    <t>Dimensao_2</t>
  </si>
  <si>
    <t>Achados_2</t>
  </si>
  <si>
    <t>Avaliacao_2</t>
  </si>
  <si>
    <t>Dimensao_3</t>
  </si>
  <si>
    <t>Achados_3</t>
  </si>
  <si>
    <t>Avaliacao_3</t>
  </si>
  <si>
    <t>Dimensao_4</t>
  </si>
  <si>
    <t>Achados_4</t>
  </si>
  <si>
    <t>Avaliacao_4</t>
  </si>
  <si>
    <t>Dimensao_5</t>
  </si>
  <si>
    <t>Achados_5</t>
  </si>
  <si>
    <t>Avaliacao_5</t>
  </si>
  <si>
    <t>Muda UASG</t>
  </si>
  <si>
    <t>Interface e Clareza Visual</t>
  </si>
  <si>
    <t>Simples e prática. Problema de contexto pós-sessão requalificado: retorno à UASG de origem é comportamento correto do sistema. Cadastro equivocado da usuária gerou percepção inicial distorcida. Ausência de destaque para UASG de origem identificada.</t>
  </si>
  <si>
    <t>Bom, com ressalvas</t>
  </si>
  <si>
    <t>Fluxo e Navegabilidade</t>
  </si>
  <si>
    <t>Etapas bem representadas. Falta âncora de última UASG ao encerrar todos os navegadores; gap de sincronização com exclusão de perfil no SISG. Novo risco identificado: cadastrador pode liberar qualquer código de órgão sem restrição ao rol autorizado.</t>
  </si>
  <si>
    <t>Regular</t>
  </si>
  <si>
    <t>Carga Cognitiva</t>
  </si>
  <si>
    <t>Baixíssima. Aprendizado rápido, sem necessidade de documentação. Atenção necessária para contexto (UASG correta).</t>
  </si>
  <si>
    <t>Excelente</t>
  </si>
  <si>
    <t>Confiabilidade</t>
  </si>
  <si>
    <t>Confiança plena no Muda UG. Práticas de revisão por pares adotadas para ações críticas como mitigação.</t>
  </si>
  <si>
    <t>Muito Bom</t>
  </si>
  <si>
    <t>Desempenho / Produtividade</t>
  </si>
  <si>
    <t>Ganho percebido como transformador. Eliminou dependências hierárquicas. Unanimidade positiva.</t>
  </si>
  <si>
    <t>28/01/2025, 29/01/2025 e 26/02/2025</t>
  </si>
  <si>
    <t>Giovana Galvão         Prof. Maíra           Paula Emilyn          Prof. Rejane</t>
  </si>
  <si>
    <t>O3</t>
  </si>
  <si>
    <t>Oficina de Design de Serviços - Compras.Gov</t>
  </si>
  <si>
    <t>Realizar testes de usabilidade nos grupos em cima de protótipos criados para a solução estabelecida nas oficinas anteriores.</t>
  </si>
  <si>
    <t>Giovana Galvão    Paula Emilyn</t>
  </si>
  <si>
    <t>Rateio</t>
  </si>
  <si>
    <t xml:space="preserve">Andrea Judice   Giovana Galvão                      Marcelo Judice                   Paula Emilyn          </t>
  </si>
  <si>
    <t>O6</t>
  </si>
  <si>
    <t xml:space="preserve">Oficina interna DTI de Design de Serviços (Coordenadores Táticos) </t>
  </si>
  <si>
    <t>Compreender o contexto, as necessidades e os desafios da organização para fundamentar o desenvolvimento de soluções alinhadas aos seus objetivos estratégicos e operacionais.​</t>
  </si>
  <si>
    <t xml:space="preserve">Andrea Judice       Flávio Feitosa   Marcelo Judice     </t>
  </si>
  <si>
    <t xml:space="preserve"> Paula Emilyn</t>
  </si>
  <si>
    <t>Wander Cleber       Jonh Lenon</t>
  </si>
  <si>
    <t>Elaine Venson               Glauco Pedrosa</t>
  </si>
  <si>
    <t xml:space="preserve">Giovana Galvão                                       Paula Emilyn        </t>
  </si>
  <si>
    <t xml:space="preserve">Giovana Galvão                                       Paula Emilyn     </t>
  </si>
  <si>
    <t>O13</t>
  </si>
  <si>
    <t xml:space="preserve">Oficina 2 de Backlog do Splitgov-orçamento </t>
  </si>
  <si>
    <t>Foram realizadas construções de Histórias de Usuário, seguindo uma estrutura pré-estabelecida pelo professor, com o objetivo de realizar uma análise perspectiva de UX em projetos de transformação digital no serviço público.</t>
  </si>
  <si>
    <t>Wander Cleber     Flávio Feitosa</t>
  </si>
  <si>
    <t xml:space="preserve">Giovana Galvão                                      Paula Emilyn   </t>
  </si>
  <si>
    <t>O14</t>
  </si>
  <si>
    <t>Continuidade -  de Backlog do Splitgov-orçamento (Online)</t>
  </si>
  <si>
    <t>O16</t>
  </si>
  <si>
    <t xml:space="preserve"> Oficina RelacionaGov (continuada) - (Online)</t>
  </si>
  <si>
    <t>Wander Cleber             Jonh Lenon</t>
  </si>
  <si>
    <t xml:space="preserve"> Levantar melhorias no sistema com base na observação e nos relatos
dos usuários, organizando os apontamentos em duas perspectivas: UX/UI e Questões de
Negócio.</t>
  </si>
  <si>
    <t>O18</t>
  </si>
  <si>
    <t>Oficina Relaciona Gov [in-Person] - (Presencial)</t>
  </si>
  <si>
    <t>A Oficina de Design de Serviço da Central Unificada de Atendimento teve como principal objetivo discutir e propor soluções para a modernização do atendimento ao público dentro dos serviços governamentais</t>
  </si>
  <si>
    <t>Giovana Galvão                                    Paula Emilyn(online)</t>
  </si>
  <si>
    <t>O19</t>
  </si>
  <si>
    <t>Oficina Relaciona Gov - (Online)</t>
  </si>
  <si>
    <t>11/09/2025, 17/09/2025</t>
  </si>
  <si>
    <t>Wander Cleber         Jonh Cleber</t>
  </si>
  <si>
    <t>O20</t>
  </si>
  <si>
    <t>Oficina de Melhorias dos Sistemas Estruturantes - Ciclo 2 -Contratos (Presencial)</t>
  </si>
  <si>
    <t>23/09/2025, 24/09/2025</t>
  </si>
  <si>
    <t>O foco geral da oficina foi cocriar soluções para os principais problemas de usabilidade dos Sistemas Estruturantes, a partir da perspectiva dos usuários reais. No dia 23 foi realizada a escolha dos problemas chave e a construção de personas, enquanto no dia 24 foi construído a jornada do usuário e benchmarking.</t>
  </si>
  <si>
    <t>Andrea Judice         Marcelo Judice</t>
  </si>
  <si>
    <t>09/02/2026, 10/02/2026, 04/03/2026, 17/03/2026 e 01/04/2026</t>
  </si>
  <si>
    <t>Continuação da Oficina ID = 24 - Oficina de Melhorias dos Sistemas Estruturantes - Ciclo 2 -Contratos. OBS: entrega prevista</t>
  </si>
  <si>
    <t>O22</t>
  </si>
  <si>
    <t>Refinamento protótipo 2 - Sistema Contratos (SEGES) - Continuação</t>
  </si>
  <si>
    <t>09/02/2026 - 04/03/2026 - 17/03/2026 - 01/04/2026</t>
  </si>
  <si>
    <t>O23</t>
  </si>
  <si>
    <t>Oficina Relaciona Gov (Presencial)</t>
  </si>
  <si>
    <t>A oficina teve como objetivo discutir a evolução e integração do RelacionaGov, plataforma unificada de Contact Center para serviços públicos. Foram abordados aspectos de arquitetura tecnológica, governança, requisitos funcionais e não funcionais, bem como desafios de atendimento e execução contratual pelas secretarias.</t>
  </si>
  <si>
    <t>Oficina Relaciona Gov (Online)</t>
  </si>
  <si>
    <t>O27</t>
  </si>
  <si>
    <t>Oficina Alinhamento RelacionaGov (CentralGov)</t>
  </si>
  <si>
    <t>David Jordão apresentou a estrutura do encontro e explicou que o foco seria encurtar as apresentações e maximizar a prática, usando o ambiente CentralGov.​ Ele informou que há 31 serviços mapeados prontos para migração.​</t>
  </si>
  <si>
    <t>Wander Cleber ; John Lenon</t>
  </si>
  <si>
    <t>Henrique</t>
  </si>
  <si>
    <t>O29</t>
  </si>
  <si>
    <t>Treinamento Central gov.br (Online)</t>
  </si>
  <si>
    <t>Objetivo principal: Realizar treinamento sobre o CentralGov.</t>
  </si>
  <si>
    <t>Central Gov.Br</t>
  </si>
  <si>
    <t>Paula Emilyn(online)</t>
  </si>
  <si>
    <t>O30</t>
  </si>
  <si>
    <t>Splitgov. - Alinhamento e Ação - (Online)</t>
  </si>
  <si>
    <t>Giovana Galvão                                    Paula Emilyn(ouvinte)</t>
  </si>
  <si>
    <t>O31</t>
  </si>
  <si>
    <t>Oficina SplitGov (Presencial)</t>
  </si>
  <si>
    <t>Com o intuito de alinhar as frentes técnica, acadêmica e de gestão, a oficina promoveu um entendimento coletivo sobre os avanços no orçamento do SplitGov. O encontro utilizou a metodologia 5W2H para organizar as próximas etapas e discussões técnicas para validar o caminho percorrido. Vale destacar que, como resultado direto desse alinhamento, a fase de prototipagem do sistema já foi iniciada.</t>
  </si>
  <si>
    <t>Giovana Galvão                                    Paula Emilyn (ouvinte)</t>
  </si>
  <si>
    <t>O32</t>
  </si>
  <si>
    <t>Splitgov. - Alinhamento e Ação</t>
  </si>
  <si>
    <t>Marcelo Judice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</si>
</sst>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charset val="1"/>
    </font>
    <font>
      <sz val="10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/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0" fontId="3" fillId="0" borderId="1" xfId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3" fillId="0" borderId="1" xfId="1" applyFill="1" applyBorder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8" fillId="7" borderId="1" xfId="0" applyFont="1" applyFill="1" applyBorder="1" applyAlignment="1">
      <alignment horizontal="left" vertical="center"/>
    </xf>
    <xf numFmtId="164" fontId="8" fillId="7" borderId="5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164" fontId="9" fillId="8" borderId="1" xfId="0" applyNumberFormat="1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0" fontId="0" fillId="8" borderId="6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3" fillId="8" borderId="1" xfId="1" applyFill="1" applyBorder="1" applyAlignment="1">
      <alignment vertical="center" wrapText="1"/>
    </xf>
    <xf numFmtId="0" fontId="0" fillId="8" borderId="0" xfId="0" applyFill="1" applyAlignment="1">
      <alignment wrapText="1"/>
    </xf>
    <xf numFmtId="0" fontId="9" fillId="8" borderId="4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14" fontId="8" fillId="7" borderId="5" xfId="0" applyNumberFormat="1" applyFont="1" applyFill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9" fillId="8" borderId="1" xfId="0" applyFont="1" applyFill="1" applyBorder="1" applyAlignment="1">
      <alignment horizontal="left" vertical="center"/>
    </xf>
    <xf numFmtId="14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9" fillId="8" borderId="6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14" fontId="11" fillId="8" borderId="1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3" fillId="9" borderId="1" xfId="1" applyFill="1" applyBorder="1" applyAlignment="1">
      <alignment vertical="center" wrapText="1"/>
    </xf>
    <xf numFmtId="0" fontId="0" fillId="9" borderId="0" xfId="0" applyFill="1" applyAlignment="1">
      <alignment wrapText="1"/>
    </xf>
    <xf numFmtId="0" fontId="4" fillId="9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14" fontId="14" fillId="10" borderId="1" xfId="0" applyNumberFormat="1" applyFont="1" applyFill="1" applyBorder="1" applyAlignment="1">
      <alignment horizontal="center" vertical="center" wrapText="1"/>
    </xf>
    <xf numFmtId="164" fontId="14" fillId="10" borderId="1" xfId="0" applyNumberFormat="1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0" xfId="0" applyFill="1"/>
    <xf numFmtId="0" fontId="1" fillId="7" borderId="1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left" vertical="center" wrapText="1"/>
    </xf>
    <xf numFmtId="0" fontId="15" fillId="10" borderId="7" xfId="0" applyFont="1" applyFill="1" applyBorder="1" applyAlignment="1">
      <alignment horizontal="left" vertical="center"/>
    </xf>
    <xf numFmtId="14" fontId="15" fillId="10" borderId="7" xfId="0" applyNumberFormat="1" applyFont="1" applyFill="1" applyBorder="1" applyAlignment="1">
      <alignment horizontal="center" vertical="center" wrapText="1"/>
    </xf>
    <xf numFmtId="164" fontId="15" fillId="10" borderId="7" xfId="0" applyNumberFormat="1" applyFont="1" applyFill="1" applyBorder="1" applyAlignment="1">
      <alignment horizontal="left" vertical="center" wrapText="1"/>
    </xf>
    <xf numFmtId="0" fontId="14" fillId="10" borderId="7" xfId="0" applyFont="1" applyFill="1" applyBorder="1" applyAlignment="1">
      <alignment horizontal="left" vertical="center" wrapText="1"/>
    </xf>
    <xf numFmtId="0" fontId="14" fillId="10" borderId="6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left" vertical="center" wrapText="1"/>
    </xf>
    <xf numFmtId="14" fontId="14" fillId="10" borderId="5" xfId="0" applyNumberFormat="1" applyFont="1" applyFill="1" applyBorder="1" applyAlignment="1">
      <alignment horizontal="center" vertical="center" wrapText="1"/>
    </xf>
    <xf numFmtId="164" fontId="14" fillId="10" borderId="5" xfId="0" applyNumberFormat="1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14" fontId="14" fillId="8" borderId="1" xfId="0" applyNumberFormat="1" applyFont="1" applyFill="1" applyBorder="1" applyAlignment="1">
      <alignment horizontal="center" vertical="center" wrapText="1"/>
    </xf>
    <xf numFmtId="164" fontId="14" fillId="8" borderId="1" xfId="0" applyNumberFormat="1" applyFont="1" applyFill="1" applyBorder="1" applyAlignment="1">
      <alignment horizontal="left" vertical="center" wrapText="1"/>
    </xf>
    <xf numFmtId="0" fontId="14" fillId="8" borderId="6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left" vertical="center" wrapText="1"/>
    </xf>
    <xf numFmtId="14" fontId="14" fillId="8" borderId="5" xfId="0" applyNumberFormat="1" applyFont="1" applyFill="1" applyBorder="1" applyAlignment="1">
      <alignment horizontal="center" vertical="center" wrapText="1"/>
    </xf>
    <xf numFmtId="164" fontId="14" fillId="8" borderId="5" xfId="0" applyNumberFormat="1" applyFont="1" applyFill="1" applyBorder="1" applyAlignment="1">
      <alignment horizontal="left" vertical="center" wrapText="1"/>
    </xf>
    <xf numFmtId="0" fontId="0" fillId="8" borderId="5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2" fillId="0" borderId="7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unbbr.sharepoint.com/:b:/s/ITRAC-DITSSCMGI/IQBo4vNBinkHSqWNk-bj55HyAab_jKgjHyCYzDbj-pu4wY8?e=pAC11N" TargetMode="External"/><Relationship Id="rId21" Type="http://schemas.openxmlformats.org/officeDocument/2006/relationships/hyperlink" Target="https://unbbr.sharepoint.com/:b:/s/ITRAC-DITSSCMGI/IQDvCTmJZxDkQpIbl9unNi_1AdRjh46INeTCsFV4r_kHqmM?e=Vye9W0" TargetMode="External"/><Relationship Id="rId42" Type="http://schemas.openxmlformats.org/officeDocument/2006/relationships/hyperlink" Target="https://unbbr.sharepoint.com/:b:/s/ITRAC-DITSSCMGI/IQD8QrmgkIy8Qo60jLIEH1ZtAbd7q8MRniCjJIegCJsCKk8?e=vsTydu" TargetMode="External"/><Relationship Id="rId47" Type="http://schemas.openxmlformats.org/officeDocument/2006/relationships/hyperlink" Target="https://unbbr.sharepoint.com/:i:/s/ITRAC-DITSSCMGI/IQDckVxf-40yTIMo3fwtfFmSAY0HO9SS5NTLlfgDNi9eNb8?e=cI7GEZ" TargetMode="External"/><Relationship Id="rId63" Type="http://schemas.openxmlformats.org/officeDocument/2006/relationships/hyperlink" Target="https://unbbr.sharepoint.com/:b:/s/ITRAC-DITSSCMGI/IQAzD29GfTcFQoeIFucefHSGAcL4jEnWexrXq6kRNu4Rt9A?e=WXS3dN" TargetMode="External"/><Relationship Id="rId68" Type="http://schemas.openxmlformats.org/officeDocument/2006/relationships/hyperlink" Target="https://unbbr.sharepoint.com/:b:/r/sites/ITRAC-DITSSCMGI/Material%20de%20Aula/Relat%C3%B3rios%20de%20Execu%C3%A7%C3%A3o%20F%C3%ADsica%20e%20de%20RCO%20-%20DTI/Novos%20Anexos/Canvas%20MVP%20-%20Agente%20de%20IA.pdf?csf=1&amp;web=1&amp;e=wGJ6JZ" TargetMode="External"/><Relationship Id="rId84" Type="http://schemas.openxmlformats.org/officeDocument/2006/relationships/hyperlink" Target="https://unbbr.sharepoint.com/:b:/r/sites/ITRAC-DITSSCMGI/Material%20de%20Aula/Relat%C3%B3rios%20de%20Execu%C3%A7%C3%A3o%20F%C3%ADsica%20e%20de%20RCO%20-%20DTI/Novos%20Anexos/ITRAC___Relat%C3%B3rio_T%C3%A9cnico_Agentes.pdf?d=w6a533272f35f49279c73c00652049483&amp;csf=1&amp;web=1&amp;e=fBYWuq" TargetMode="External"/><Relationship Id="rId16" Type="http://schemas.openxmlformats.org/officeDocument/2006/relationships/hyperlink" Target="https://unbbr.sharepoint.com/:b:/s/ITRAC-DITSSCMGI/IQDL7ssxI2lsQrAkLw7rxFucAbmlj9TXxqCYQv8r74yS3GQ?e=sbvrFE" TargetMode="External"/><Relationship Id="rId11" Type="http://schemas.openxmlformats.org/officeDocument/2006/relationships/hyperlink" Target="https://unbbr.sharepoint.com/:b:/s/ITRAC-DITSSCMGI/IQB1moVj_XdwQ4s-2oXXh1wpAfhnPWza7c1Sc9uK3i35MJ8?e=bffxPl" TargetMode="External"/><Relationship Id="rId32" Type="http://schemas.openxmlformats.org/officeDocument/2006/relationships/hyperlink" Target="https://unbbr.sharepoint.com/:b:/s/ITRAC-DITSSCMGI/IQAOn7TNFMUXTLPhVTpGTGhIAWLMejALWsE9Mo0SsUv8YQs?e=KOBcCc" TargetMode="External"/><Relationship Id="rId37" Type="http://schemas.openxmlformats.org/officeDocument/2006/relationships/hyperlink" Target="https://unbbr.sharepoint.com/:b:/s/ITRAC-DITSSCMGI/IQAck0Y7HoDASLUDf0lax9fmAcrdjtcZ_pK0RDPNAY-DXnc?e=rFZUXN" TargetMode="External"/><Relationship Id="rId53" Type="http://schemas.openxmlformats.org/officeDocument/2006/relationships/hyperlink" Target="https://unbbr.sharepoint.com/:x:/s/ITRAC-DITSSCMGI/IQA-yThAMgVVQ7h9EzdpHd37AXeNY3nq9CrTgf6APa2t0Ms?e=7ER3i8" TargetMode="External"/><Relationship Id="rId58" Type="http://schemas.openxmlformats.org/officeDocument/2006/relationships/hyperlink" Target="https://unbbr.sharepoint.com/:b:/s/ITRAC-DITSSCMGI/IQBWC2z9lFefQZrgPl-pompDAXReb1XMhnIHvdXwtTaQvrk?e=niq80P" TargetMode="External"/><Relationship Id="rId74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8hSFEJ" TargetMode="External"/><Relationship Id="rId79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rG1omq" TargetMode="External"/><Relationship Id="rId5" Type="http://schemas.openxmlformats.org/officeDocument/2006/relationships/hyperlink" Target="https://unbbr.sharepoint.com/:b:/s/ITRAC-DITSSCMGI/IQCjFLsNSY8IQaW2y87dMRKyAYLn1aVdngE4JflqVyzZvMk?e=Oq7gPJ" TargetMode="External"/><Relationship Id="rId19" Type="http://schemas.openxmlformats.org/officeDocument/2006/relationships/hyperlink" Target="https://unbbr.sharepoint.com/:b:/s/ITRAC-DITSSCMGI/IQBG7I4AJHlzQpUjuI-GytQ-AR0057_JQiQ-z7OG47Gnb9M?e=DH8ueJ" TargetMode="External"/><Relationship Id="rId14" Type="http://schemas.openxmlformats.org/officeDocument/2006/relationships/hyperlink" Target="https://unbbr.sharepoint.com/:b:/s/ITRAC-DITSSCMGI/IQCpuYrWMr2QQpXkeq3x4OCvAWbOH5Klcl9GWwibZRClOOA?e=22GlWQ" TargetMode="External"/><Relationship Id="rId22" Type="http://schemas.openxmlformats.org/officeDocument/2006/relationships/hyperlink" Target="https://unbbr.sharepoint.com/:b:/s/ITRAC-DITSSCMGI/IQBkJTOkihwbR73oJPfRQOOHAey_xEpJ9OfIKOjAsFB2-uo?e=dD0OEN" TargetMode="External"/><Relationship Id="rId27" Type="http://schemas.openxmlformats.org/officeDocument/2006/relationships/hyperlink" Target="https://unbbr.sharepoint.com/:b:/s/ITRAC-DITSSCMGI/IQBQA11OhlxxTKveCkRgrUd1AcZSSoI8o1sRlLcUy6W_fYM?e=9HMIlD" TargetMode="External"/><Relationship Id="rId30" Type="http://schemas.openxmlformats.org/officeDocument/2006/relationships/hyperlink" Target="https://unbbr.sharepoint.com/:b:/s/ITRAC-DITSSCMGI/IQAozp5uilU0S6c0GNFgfO1VAWJxpFBvqDAa551A_-4Cylk?e=0QJJ1s" TargetMode="External"/><Relationship Id="rId35" Type="http://schemas.openxmlformats.org/officeDocument/2006/relationships/hyperlink" Target="https://unbbr.sharepoint.com/:b:/s/ITRAC-DITSSCMGI/IQCRbgjt30jiSL9zRR9G1n4nAa_kb6PfLFBaKFOftkwwqNY?e=QlWbq9" TargetMode="External"/><Relationship Id="rId43" Type="http://schemas.openxmlformats.org/officeDocument/2006/relationships/hyperlink" Target="https://unbbr.sharepoint.com/:b:/s/ITRAC-DITSSCMGI/IQB7SkWmxYHVS7AuyxNpf6GsATbQQj3iToFCUPGftFI9b8I?e=5Skf6Z" TargetMode="External"/><Relationship Id="rId48" Type="http://schemas.openxmlformats.org/officeDocument/2006/relationships/hyperlink" Target="https://unbbr.sharepoint.com/:w:/s/ITRAC-DITSSCMGI/IQC9mK1T659LRa5p2HOkXBG2AX9hkGsR7mF3wZb4PnjCaFs?e=OQgGZ5" TargetMode="External"/><Relationship Id="rId56" Type="http://schemas.openxmlformats.org/officeDocument/2006/relationships/hyperlink" Target="https://unbbr.sharepoint.com/:b:/s/ITRAC-DITSSCMGI/IQDF0FsmgP4lSav_xNaLL-ZKAZVBSJcJ_8Vv6JoErmTFB8U?e=eXXByA" TargetMode="External"/><Relationship Id="rId64" Type="http://schemas.openxmlformats.org/officeDocument/2006/relationships/hyperlink" Target="https://unbbr.sharepoint.com/:b:/s/ITRAC-DITSSCMGI/IQBBBXfpJSOmRZNUBIXYI2e-AZKJ-g6Lsd70xIfF8kFhe0g?e=0bLz6H" TargetMode="External"/><Relationship Id="rId69" Type="http://schemas.openxmlformats.org/officeDocument/2006/relationships/hyperlink" Target="https://unbbr.sharepoint.com/:v:/r/sites/ITRAC-DITSSCMGI/Material%20de%20Aula/Relat%C3%B3rios%20de%20Execu%C3%A7%C3%A3o%20F%C3%ADsica%20e%20de%20RCO%20-%20DTI/Novos%20Anexos/DTI-V%C3%ADdeo-V6.mp4?csf=1&amp;web=1&amp;e=CULJVM" TargetMode="External"/><Relationship Id="rId77" Type="http://schemas.openxmlformats.org/officeDocument/2006/relationships/hyperlink" Target="https://unbbr.sharepoint.com/:f:/r/sites/ITRAC-DITSSCMGI/Material%20de%20Aula/Relat%C3%B3rios%20de%20Execu%C3%A7%C3%A3o%20F%C3%ADsica%20e%20de%20RCO%20-%20DTI/Novos%20Anexos/Treinamento%20FIGMA%20e%20MIRO?d=w35953be881c045a9922d4e6f416d9603&amp;csf=1&amp;web=1&amp;e=FnbVsp" TargetMode="External"/><Relationship Id="rId8" Type="http://schemas.openxmlformats.org/officeDocument/2006/relationships/hyperlink" Target="https://unbbr.sharepoint.com/:b:/s/ITRAC-DITSSCMGI/IQCPuhqEt7sAT4O38a9gVPs1AUwsKKX1PwdyxIwW5S6Gbhs?e=p9s5Tm" TargetMode="External"/><Relationship Id="rId51" Type="http://schemas.openxmlformats.org/officeDocument/2006/relationships/hyperlink" Target="https://unbbr.sharepoint.com/:b:/s/ITRAC-DITSSCMGI/IQBMY2yzYdVeR654QkjnAzYoAU42Yqz0E7Y0NAASMzBXWqg?e=A1cFgI" TargetMode="External"/><Relationship Id="rId72" Type="http://schemas.openxmlformats.org/officeDocument/2006/relationships/hyperlink" Target="https://unbbr.sharepoint.com/:b:/r/sites/ITRAC-DITSSCMGI/Material%20de%20Aula/Relat%C3%B3rios%20de%20Execu%C3%A7%C3%A3o%20F%C3%ADsica%20e%20de%20RCO%20-%20DTI/Anexos-REF/META%201-%20OFICINAS%20COLABORATIVAS/PRODUTO1_4/Relatorio_Uso%20e%20Desenvolvimento%20de%20Agentes%20de%20IA.pdf?d=w683d55a832ff4a1f9bea95f9726d215e&amp;csf=1&amp;web=1&amp;e=6NIddU" TargetMode="External"/><Relationship Id="rId80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%20-%20Oficina%20MEMP_DREI_Prot%C3%B3tipo_VF.pdf?d=w35b261f3eb4249bba84d2749485fcba0&amp;csf=1&amp;web=1&amp;e=TLwDcw" TargetMode="External"/><Relationship Id="rId85" Type="http://schemas.openxmlformats.org/officeDocument/2006/relationships/hyperlink" Target="https://sites.itrac.unb.br/bussola-ds/dti/" TargetMode="External"/><Relationship Id="rId3" Type="http://schemas.openxmlformats.org/officeDocument/2006/relationships/hyperlink" Target="https://unbbr.sharepoint.com/:b:/s/ITRAC-DITSSCMGI/IQCV12QWQlAaTrtj_P-FHjHKATEBQbdhbti9DhJFzvQB6QE?e=vsE0Kn" TargetMode="External"/><Relationship Id="rId12" Type="http://schemas.openxmlformats.org/officeDocument/2006/relationships/hyperlink" Target="https://unbbr.sharepoint.com/:b:/s/ITRAC-DITSSCMGI/IQCAOKnvQJgPSa7lnPFCahbxAcMzAVuq246jV5IipFc1CzE?e=CwY0CI" TargetMode="External"/><Relationship Id="rId17" Type="http://schemas.openxmlformats.org/officeDocument/2006/relationships/hyperlink" Target="https://unbbr.sharepoint.com/:b:/s/ITRAC-DITSSCMGI/IQC5QuESkS29Tqz2UyAkKDVIAUd2YWCZ0WBov-LYRzZmw7Q?e=9JCWp7" TargetMode="External"/><Relationship Id="rId25" Type="http://schemas.openxmlformats.org/officeDocument/2006/relationships/hyperlink" Target="https://unbbr.sharepoint.com/:b:/s/ITRAC-DITSSCMGI/IQCnM_3qj59eQ5obPbxNmlJsAaOldRW5mLqtJowRQbpOF1w?e=u4Vagt" TargetMode="External"/><Relationship Id="rId33" Type="http://schemas.openxmlformats.org/officeDocument/2006/relationships/hyperlink" Target="https://unbbr.sharepoint.com/:b:/s/ITRAC-DITSSCMGI/IQAxvGgPcbrJSqVvQmTDducbAffjdqbanmiD5l-fTw4gpTc?e=IacbxD" TargetMode="External"/><Relationship Id="rId38" Type="http://schemas.openxmlformats.org/officeDocument/2006/relationships/hyperlink" Target="https://unbbr.sharepoint.com/:i:/s/ITRAC-DITSSCMGI/IQBViCnt2-AaQYrAdIeGLg09AaNFULeWzvEFer3g7D5wZZg?e=1zXu9f" TargetMode="External"/><Relationship Id="rId46" Type="http://schemas.openxmlformats.org/officeDocument/2006/relationships/hyperlink" Target="https://unbbr.sharepoint.com/:b:/s/ITRAC-DITSSCMGI/IQBMFYDElI2PTozzPGTe7Sr5AdX2aLAC2szYnNEdPK5FGek?e=ygVn6E" TargetMode="External"/><Relationship Id="rId59" Type="http://schemas.openxmlformats.org/officeDocument/2006/relationships/hyperlink" Target="https://unbbr.sharepoint.com/:b:/s/ITRAC-DITSSCMGI/IQCCsRo_pgztTLWdXrUW32LiAWRJan9uzwydBW0Q1SYCv1E?e=srxXlo" TargetMode="External"/><Relationship Id="rId67" Type="http://schemas.openxmlformats.org/officeDocument/2006/relationships/hyperlink" Target="https://unbbr.sharepoint.com/:b:/r/sites/ITRAC-DITSSCMGI/Material%20de%20Aula/Relat%C3%B3rios%20de%20Execu%C3%A7%C3%A3o%20F%C3%ADsica%20e%20de%20RCO%20-%20DTI/Novos%20Anexos/GOV26%20-%20Colaboralab%20-%20Flavio%20Feitosa%20e%20Vivi%20-%2015%2004%20v3%20-%20final.pdf?csf=1&amp;web=1&amp;e=bsIT6I" TargetMode="External"/><Relationship Id="rId20" Type="http://schemas.openxmlformats.org/officeDocument/2006/relationships/hyperlink" Target="https://unbbr.sharepoint.com/:p:/s/ITRAC-DITSSCMGI/IQDiFDPuyrzKRrHqlj65PJrRAfIcbXc-FQyv29JXqaFSax4?e=Pfyqc5" TargetMode="External"/><Relationship Id="rId41" Type="http://schemas.openxmlformats.org/officeDocument/2006/relationships/hyperlink" Target="https://unbbr.sharepoint.com/:v:/s/ITRAC-DITSSCMGI/IQCG-_GtViCkSKLi4EUcN4GaATpvHBOp0kqus2yGNBDQ2P0?e=vnnJW2" TargetMode="External"/><Relationship Id="rId54" Type="http://schemas.openxmlformats.org/officeDocument/2006/relationships/hyperlink" Target="https://unbbr.sharepoint.com/:b:/s/ITRAC-DITSSCMGI/IQDUW4q5qtSNSba_AJ1tQG0RAcfRduh0syFr56nBdJkQqIk?e=EzvRWm" TargetMode="External"/><Relationship Id="rId62" Type="http://schemas.openxmlformats.org/officeDocument/2006/relationships/hyperlink" Target="https://unbbr.sharepoint.com/:b:/s/ITRAC-DITSSCMGI/IQDDq8x65GWoS4CSgsiY73ItAaRId6vUcklzeUChjHy6ekc?e=l5dtqR" TargetMode="External"/><Relationship Id="rId70" Type="http://schemas.openxmlformats.org/officeDocument/2006/relationships/hyperlink" Target="https://unbbr.sharepoint.com/:b:/r/sites/ITRAC-DITSSCMGI/Material%20de%20Aula/Relat%C3%B3rios%20de%20Execu%C3%A7%C3%A3o%20F%C3%ADsica%20e%20de%20RCO%20-%20DTI/Anexos/META%201-%20OFICINAS%20COLABORATIVAS/PRODUTO1_4/Relat%C3%B3rio%20-%20UX%20Compartilha%20Servi%C3%A7os.pdf?d=w6a26c8b6ac874beb9184e1465ef474bf&amp;csf=1&amp;web=1&amp;e=85gZbU" TargetMode="External"/><Relationship Id="rId75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%20-%20Contratos%20ciclo%202%20-%20set%202026.pdf?d=wce106b66243d4b03af236756a582b2e0&amp;csf=1&amp;web=1&amp;e=KVsa13" TargetMode="External"/><Relationship Id="rId83" Type="http://schemas.openxmlformats.org/officeDocument/2006/relationships/hyperlink" Target="https://unbbr.sharepoint.com/:b:/r/sites/ITRAC-DITSSCMGI/Material%20de%20Aula/Relat%C3%B3rios%20de%20Execu%C3%A7%C3%A3o%20F%C3%ADsica%20e%20de%20RCO%20-%20DTI/Novos%20Anexos/Guia%20ColaboraLab_VF3.pdf?d=w5a8544c3fd964d6b97a29305f1820223&amp;csf=1&amp;web=1&amp;e=gIFMEI" TargetMode="External"/><Relationship Id="rId1" Type="http://schemas.openxmlformats.org/officeDocument/2006/relationships/hyperlink" Target="https://unbbr.sharepoint.com/:b:/s/ITRAC-DITSSCMGI/IQBsEWrE_alfQ78VJpMkB7lyAU83F468bZ3vEDbwKfj9cEM?e=EPITR3" TargetMode="External"/><Relationship Id="rId6" Type="http://schemas.openxmlformats.org/officeDocument/2006/relationships/hyperlink" Target="https://unbbr.sharepoint.com/:b:/s/ITRAC-DITSSCMGI/IQBj_A_FSRMmSZ-2fo7cqZRAAS6BH1-7oy56N3UyTneMufY?e=BG9oQG" TargetMode="External"/><Relationship Id="rId15" Type="http://schemas.openxmlformats.org/officeDocument/2006/relationships/hyperlink" Target="https://unbbr.sharepoint.com/:b:/s/ITRAC-DITSSCMGI/IQAnC5NYM7-5RYrsCXGGpYE2AayErmS7YmYonFr5DnQPTfM?e=Zvz57n" TargetMode="External"/><Relationship Id="rId23" Type="http://schemas.openxmlformats.org/officeDocument/2006/relationships/hyperlink" Target="https://unbbr.sharepoint.com/:b:/s/ITRAC-DITSSCMGI/IQCNVJswZZV-S7SFtZB0U1kDAa9aRbt7-FGeZWX5Q11IoaY?e=1QH5FC" TargetMode="External"/><Relationship Id="rId28" Type="http://schemas.openxmlformats.org/officeDocument/2006/relationships/hyperlink" Target="https://unbbr.sharepoint.com/:b:/s/ITRAC-DITSSCMGI/IQCW3capSodpQJ7HIp4TkVboAXZB_Puca00ucfUbA998JPk?e=WZMwEr" TargetMode="External"/><Relationship Id="rId36" Type="http://schemas.openxmlformats.org/officeDocument/2006/relationships/hyperlink" Target="https://unbbr.sharepoint.com/:b:/s/ITRAC-DITSSCMGI/IQDJxC-tEwdbTIUwV8KctTGUARYiHdqFkkWR2FX5UjGulAw?e=gT6zTA" TargetMode="External"/><Relationship Id="rId49" Type="http://schemas.openxmlformats.org/officeDocument/2006/relationships/hyperlink" Target="https://unbbr.sharepoint.com/:b:/s/ITRAC-DITSSCMGI/IQCqR6PSV5veQpHgjauNF5kdAUCi946lABt5lLFqQpyC9j4?e=rW3l1f" TargetMode="External"/><Relationship Id="rId57" Type="http://schemas.openxmlformats.org/officeDocument/2006/relationships/hyperlink" Target="https://unbbr.sharepoint.com/:b:/s/ITRAC-DITSSCMGI/IQAM4SJWAISORLFbLA9Lf5YHAeIMrF3IDBB_ByK5nBygGOU?e=hkUMZr" TargetMode="External"/><Relationship Id="rId10" Type="http://schemas.openxmlformats.org/officeDocument/2006/relationships/hyperlink" Target="https://unbbr.sharepoint.com/:b:/s/ITRAC-DITSSCMGI/IQDUVGVMjGZ0Q5wAW5Lh-BWdAfpagSCVaILoLeZ1lB6zXF4?e=69hms1" TargetMode="External"/><Relationship Id="rId31" Type="http://schemas.openxmlformats.org/officeDocument/2006/relationships/hyperlink" Target="https://unbbr.sharepoint.com/:b:/s/ITRAC-DITSSCMGI/IQAzCuxna1ufSYWmjcoyc3q5AatK9B5nLg3tgFod2NAkZz0?e=QwfNoZ" TargetMode="External"/><Relationship Id="rId44" Type="http://schemas.openxmlformats.org/officeDocument/2006/relationships/hyperlink" Target="https://unbbr.sharepoint.com/:i:/s/ITRAC-DITSSCMGI/IQBZvwgZlJOySoVI6kLPLNpNAUykkPVhqFZoaKHUL4SNSHk?e=bqMn8S" TargetMode="External"/><Relationship Id="rId52" Type="http://schemas.openxmlformats.org/officeDocument/2006/relationships/hyperlink" Target="https://unbbr.sharepoint.com/:i:/s/ITRAC-DITSSCMGI/IQDZPEefFhK8QK6NCmTBuMg-AXLgueT-9cxIjIeJQlx4ajM?e=BveJln" TargetMode="External"/><Relationship Id="rId60" Type="http://schemas.openxmlformats.org/officeDocument/2006/relationships/hyperlink" Target="https://unbbr.sharepoint.com/:b:/s/ITRAC-DITSSCMGI/IQClKUQpe0-NTKKbzdpwcC-9ATG-xRZFmlhyp1uJuS_C1as?e=Ao1qHs" TargetMode="External"/><Relationship Id="rId65" Type="http://schemas.openxmlformats.org/officeDocument/2006/relationships/hyperlink" Target="https://unbbr.sharepoint.com/:b:/r/sites/ITRAC-DITSSCMGI/Material%20de%20Aula/Relat%C3%B3rios%20de%20Execu%C3%A7%C3%A3o%20F%C3%ADsica%20e%20de%20RCO%20-%20DTI/Anexos/META%201-%20OFICINAS%20COLABORATIVAS/PRODUTO1_4/Cocriando%20Roadmap%20para%202026_2.pdf?csf=1&amp;web=1&amp;e=gLHUMT" TargetMode="External"/><Relationship Id="rId73" Type="http://schemas.openxmlformats.org/officeDocument/2006/relationships/hyperlink" Target="https://unbbr.sharepoint.com/:v:/r/sites/ITRAC-DITSSCMGI/Material%20de%20Aula/Relat%C3%B3rios%20de%20Execu%C3%A7%C3%A3o%20F%C3%ADsica%20e%20de%20RCO%20-%20DTI/Novos%20Anexos/DTI-V%C3%ADdeo-V6.mp4?csf=1&amp;web=1&amp;e=CULJVM" TargetMode="External"/><Relationship Id="rId78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rG1omq" TargetMode="External"/><Relationship Id="rId81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%20-%20Catalogo%20de%20Servi%C3%A7os.pdf?d=wd40ab4c7ed04406a9ec30e0daeaddcc7&amp;csf=1&amp;web=1&amp;e=XfttfO" TargetMode="External"/><Relationship Id="rId4" Type="http://schemas.openxmlformats.org/officeDocument/2006/relationships/hyperlink" Target="https://unbbr.sharepoint.com/:b:/s/ITRAC-DITSSCMGI/IQBh42f2pPtdTIeqfdhcb4DSAeg11hRxg5aHZ3mgOWB1kjs?e=SplbtA" TargetMode="External"/><Relationship Id="rId9" Type="http://schemas.openxmlformats.org/officeDocument/2006/relationships/hyperlink" Target="https://unbbr.sharepoint.com/:b:/s/ITRAC-DITSSCMGI/IQBDDv4vBGroR78-pAQujkirAdVYfdTwshs4juljqqx_Crw?e=Uo9A9d" TargetMode="External"/><Relationship Id="rId13" Type="http://schemas.openxmlformats.org/officeDocument/2006/relationships/hyperlink" Target="https://unbbr.sharepoint.com/:b:/s/ITRAC-DITSSCMGI/IQDZemcEmQ49SJ59e6206kxGAeTlQnpJ3aTrvNqC2TSysDo?e=m3oOg5" TargetMode="External"/><Relationship Id="rId18" Type="http://schemas.openxmlformats.org/officeDocument/2006/relationships/hyperlink" Target="https://unbbr.sharepoint.com/:b:/s/ITRAC-DITSSCMGI/IQD4y1maonSSTqiuHAiJ_lo6AVopnB1DrEpKLxNVQeQwuUI?e=IGAdkJ" TargetMode="External"/><Relationship Id="rId39" Type="http://schemas.openxmlformats.org/officeDocument/2006/relationships/hyperlink" Target="https://unbbr.sharepoint.com/:b:/s/ITRAC-DITSSCMGI/IQBMt3m3C9EfQpbH1PpJNjXSAf7nnFOHJkeYH-UNzdviotk?e=9t1Fi6" TargetMode="External"/><Relationship Id="rId34" Type="http://schemas.openxmlformats.org/officeDocument/2006/relationships/hyperlink" Target="https://unbbr.sharepoint.com/:b:/s/ITRAC-DITSSCMGI/IQAGCL5Io1oQQ7O5e7aI6VFYAUw5qTQYm2S-3wcRFYRtyPM?e=cwcwFO" TargetMode="External"/><Relationship Id="rId50" Type="http://schemas.openxmlformats.org/officeDocument/2006/relationships/hyperlink" Target="https://unbbr.sharepoint.com/:b:/s/ITRAC-DITSSCMGI/IQAa4Fi-21M6T6nyPRwoNb0-AWGjRjKkcVwFg0JYli0YSDs?e=5uFzQX" TargetMode="External"/><Relationship Id="rId55" Type="http://schemas.openxmlformats.org/officeDocument/2006/relationships/hyperlink" Target="https://unbbr.sharepoint.com/:u:/s/ITRAC-DITSSCMGI/IQDYYKF6vJ0wQpfj1EymUD69ARgshHxvOpozZNRHhi9knb8?e=C0hvm6" TargetMode="External"/><Relationship Id="rId76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_Tecnico_Splitgov.pdf?d=w42587044469242af975dd9a9574c4c1f&amp;csf=1&amp;web=1&amp;e=YZOd4R" TargetMode="External"/><Relationship Id="rId7" Type="http://schemas.openxmlformats.org/officeDocument/2006/relationships/hyperlink" Target="https://unbbr.sharepoint.com/:b:/s/ITRAC-DITSSCMGI/IQCNQt9tDyQQRIy4p3H3BzTKAcjLhoqSaDmvnpwex55ZST8?e=5aZmiv" TargetMode="External"/><Relationship Id="rId71" Type="http://schemas.openxmlformats.org/officeDocument/2006/relationships/hyperlink" Target="https://unbbr.sharepoint.com/:b:/r/sites/ITRAC-DITSSCMGI/Documentos%20Compartilhados/General/Projetos%20e%20A%C3%A7%C3%B5es/Agentes%20de%20IA/Guia_Uso%20de%20Agentes%20de%20IA-MVP.pdf?d=w5e2bfaa60dfe4e9281b5bcc7d92393fb&amp;csf=1&amp;web=1&amp;e=JMvZEz" TargetMode="External"/><Relationship Id="rId2" Type="http://schemas.openxmlformats.org/officeDocument/2006/relationships/hyperlink" Target="https://unbbr.sharepoint.com/:x:/s/ITRAC-DITSSCMGI/IQAc7-MZzm2DSYMJymRiZI_tARP4WenVJalTy8Y85604Qd0?e=I7otcF" TargetMode="External"/><Relationship Id="rId29" Type="http://schemas.openxmlformats.org/officeDocument/2006/relationships/hyperlink" Target="https://unbbr.sharepoint.com/:b:/s/ITRAC-DITSSCMGI/IQAIouWDda9lTKyae1BXa1riAYBa61biuBbYj0P-1LQJi60?e=gVa9Y1" TargetMode="External"/><Relationship Id="rId24" Type="http://schemas.openxmlformats.org/officeDocument/2006/relationships/hyperlink" Target="https://unbbr.sharepoint.com/:b:/s/ITRAC-DITSSCMGI/IQBdt269gfRVQ7Q245SHG3mdAUvnEmYRx0UW4uK-nyQvE4k?e=AHfHFU" TargetMode="External"/><Relationship Id="rId40" Type="http://schemas.openxmlformats.org/officeDocument/2006/relationships/hyperlink" Target="https://unbbr.sharepoint.com/:u:/s/ITRAC-DITSSCMGI/IQCxOMYZMcqERZr82wSnl44gAWdxuit3oLqwG1xyiE2WDLw?e=wUajDS" TargetMode="External"/><Relationship Id="rId45" Type="http://schemas.openxmlformats.org/officeDocument/2006/relationships/hyperlink" Target="https://unbbr.sharepoint.com/:i:/s/ITRAC-DITSSCMGI/IQA1QiGxGQJiS5cefv8p-ddzARDYdVsXW3xBr2YAuSMB0Gg?e=JGgzCd" TargetMode="External"/><Relationship Id="rId66" Type="http://schemas.openxmlformats.org/officeDocument/2006/relationships/hyperlink" Target="https://unbbr.sharepoint.com/:b:/r/sites/ITRAC-DITSSCMGI/Material%20de%20Aula/Relat%C3%B3rios%20de%20Execu%C3%A7%C3%A3o%20F%C3%ADsica%20e%20de%20RCO%20-%20DTI/Novos%20Anexos/Relat%C3%B3rio_PGC.pdf?csf=1&amp;web=1&amp;e=d8VafR" TargetMode="External"/><Relationship Id="rId61" Type="http://schemas.openxmlformats.org/officeDocument/2006/relationships/hyperlink" Target="https://unbbr.sharepoint.com/:b:/s/ITRAC-DITSSCMGI/IQD5f9Ld-3TnQ7fsyhofYaMBARFYHu4BKn9Xk1mynCSiSZA?e=BZ6tr4" TargetMode="External"/><Relationship Id="rId82" Type="http://schemas.openxmlformats.org/officeDocument/2006/relationships/hyperlink" Target="https://unbbr.sharepoint.com/:b:/r/sites/ITRAC-DITSSCMGI/Material%20de%20Aula/Relat%C3%B3rios%20de%20Execu%C3%A7%C3%A3o%20F%C3%ADsica%20e%20de%20RCO%20-%20DTI/Novos%20Anexos/Guia_Uso%20de%20Agentes%20de%20IA-V4.pdf?d=w61f31c8ce153499eac2473acc5a95dd5&amp;csf=1&amp;web=1&amp;e=bu580V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tepress.org/Papers/2025/134491/134491.pdf" TargetMode="External"/><Relationship Id="rId3" Type="http://schemas.openxmlformats.org/officeDocument/2006/relationships/hyperlink" Target="https://rgsa.openaccesspublications.org/rgsa/article/view/11941/6505" TargetMode="External"/><Relationship Id="rId7" Type="http://schemas.openxmlformats.org/officeDocument/2006/relationships/hyperlink" Target="https://sol.sbc.org.br/index.php/wcge/article/view/36323" TargetMode="External"/><Relationship Id="rId2" Type="http://schemas.openxmlformats.org/officeDocument/2006/relationships/hyperlink" Target="https://unbbr.sharepoint.com/:f:/s/ITRAC-DITSSCMGI/IgC28xg3Y91GRY5E23A2G5KbATUzaxtPOqVRab96bVQ5954?e=L08kJA" TargetMode="External"/><Relationship Id="rId1" Type="http://schemas.openxmlformats.org/officeDocument/2006/relationships/hyperlink" Target="https://sol.sbc.org.br/index.php/ihc/article/view/37653" TargetMode="External"/><Relationship Id="rId6" Type="http://schemas.openxmlformats.org/officeDocument/2006/relationships/hyperlink" Target="https://proceedings.open.tudelft.nl/DGO2025/article/view/1044" TargetMode="External"/><Relationship Id="rId5" Type="http://schemas.openxmlformats.org/officeDocument/2006/relationships/hyperlink" Target="https://proceedings.open.tudelft.nl/DGO2025/article/view/1061" TargetMode="External"/><Relationship Id="rId4" Type="http://schemas.openxmlformats.org/officeDocument/2006/relationships/hyperlink" Target="https://www.scitepress.org/Papers/2025/132573/132573.pdf" TargetMode="External"/><Relationship Id="rId9" Type="http://schemas.openxmlformats.org/officeDocument/2006/relationships/hyperlink" Target="https://journals-sol.sbc.org.br/index.php/jis/article/view/7067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nbbr.sharepoint.com/:b:/s/ITRAC-DITSSCMGI/IQC2h1CFp_bET6Ir9zxZAEy-AcyC_rhhDmtxBLXBvSkmjzU?e=Hlj4Kw" TargetMode="External"/><Relationship Id="rId13" Type="http://schemas.openxmlformats.org/officeDocument/2006/relationships/hyperlink" Target="https://unbbr.sharepoint.com/:b:/s/ITRAC-DITSSCMGI/IQCZow50GLtWS5BPU4yYG--sAT79v2_AeCxyj3PnmIhB7NM?e=ss46KR" TargetMode="External"/><Relationship Id="rId3" Type="http://schemas.openxmlformats.org/officeDocument/2006/relationships/hyperlink" Target="https://unbbr.sharepoint.com/:b:/s/ITRAC-DITSSCMGI/IQBo_8qAgl4rQI-KaqBgaGQyAWY-K9qAogq8EiN-3fW6Ung?e=N5B9hN" TargetMode="External"/><Relationship Id="rId7" Type="http://schemas.openxmlformats.org/officeDocument/2006/relationships/hyperlink" Target="https://unbbr.sharepoint.com/:b:/s/ITRAC-DITSSCMGI/IQBrXtXxYgdNQIgt0zkXOTpFAR0ig0wUUg2JQ4O3KJhcuNc?e=7Rtcra" TargetMode="External"/><Relationship Id="rId12" Type="http://schemas.openxmlformats.org/officeDocument/2006/relationships/hyperlink" Target="https://unbbr.sharepoint.com/:b:/s/ITRAC-DITSSCMGI/IQAteoBiKuoFTr93miVYW0D3AWYuTi1I5fQcFlFUt32H9nU?e=EDeSzf" TargetMode="External"/><Relationship Id="rId2" Type="http://schemas.openxmlformats.org/officeDocument/2006/relationships/hyperlink" Target="https://unbbr.sharepoint.com/:b:/s/ITRAC-DITSSCMGI/IQAWMo5wqYcvTbecIttziJJeASIoLhWJDaTpuFsd7wQjygg?e=nv4Oge" TargetMode="External"/><Relationship Id="rId1" Type="http://schemas.openxmlformats.org/officeDocument/2006/relationships/hyperlink" Target="https://unbbr.sharepoint.com/:b:/s/ITRAC-DITSSCMGI/IQBBTS4lrS6BQLL4BPb5tUi3AftNoDqBh5whOLGsc7yR67U?e=ZwzAME" TargetMode="External"/><Relationship Id="rId6" Type="http://schemas.openxmlformats.org/officeDocument/2006/relationships/hyperlink" Target="https://unbbr.sharepoint.com/:b:/s/ITRAC-DITSSCMGI/IQA09pHapx3XR58-l41V_ZKrAWwxXV4sz6vGAZMjqG52iic?e=gdDra3" TargetMode="External"/><Relationship Id="rId11" Type="http://schemas.openxmlformats.org/officeDocument/2006/relationships/hyperlink" Target="https://unbbr.sharepoint.com/:b:/s/ITRAC-DITSSCMGI/IQCqdN43LPa5Rb1fyF12YdXxAdT_ey0MykPIjFDuJZQjtSs?e=wd1mpu" TargetMode="External"/><Relationship Id="rId5" Type="http://schemas.openxmlformats.org/officeDocument/2006/relationships/hyperlink" Target="https://unbbr.sharepoint.com/:b:/s/ITRAC-DITSSCMGI/IQA09pHapx3XR58-l41V_ZKrAWwxXV4sz6vGAZMjqG52iic?e=gdDra3" TargetMode="External"/><Relationship Id="rId10" Type="http://schemas.openxmlformats.org/officeDocument/2006/relationships/hyperlink" Target="https://unbbr.sharepoint.com/:b:/s/ITRAC-DITSSCMGI/IQBdkfBzu4UAToa511bYOEhYAbbEMghx6tiONE_qFewzyvE?e=vpcf4L" TargetMode="External"/><Relationship Id="rId4" Type="http://schemas.openxmlformats.org/officeDocument/2006/relationships/hyperlink" Target="https://unbbr.sharepoint.com/:b:/s/ITRAC-DITSSCMGI/IQAJr-ys-JQpQY8nWHK2ZkD_ATusSh4AFtS30tVykgh-v6E?e=vdLSDM" TargetMode="External"/><Relationship Id="rId9" Type="http://schemas.openxmlformats.org/officeDocument/2006/relationships/hyperlink" Target="https://unbbr.sharepoint.com/:b:/s/ITRAC-DITSSCMGI/IQBEI-Gzv_urRrQfP5O1QRwCAdMKM_FwDhY_Ze_5hUKIbMQ?e=qJiu0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1F2A-3850-473B-833A-268EF94087F2}">
  <dimension ref="A1:E10"/>
  <sheetViews>
    <sheetView workbookViewId="0">
      <selection activeCell="E6" sqref="E6"/>
    </sheetView>
  </sheetViews>
  <sheetFormatPr defaultRowHeight="15"/>
  <cols>
    <col min="1" max="1" width="9" bestFit="1" customWidth="1"/>
    <col min="2" max="2" width="8.28515625" bestFit="1" customWidth="1"/>
    <col min="3" max="3" width="24.7109375" bestFit="1" customWidth="1"/>
    <col min="4" max="4" width="14.140625" bestFit="1" customWidth="1"/>
    <col min="5" max="5" width="68.28515625" bestFit="1" customWidth="1"/>
  </cols>
  <sheetData>
    <row r="1" spans="1:5">
      <c r="A1" s="19" t="s">
        <v>0</v>
      </c>
      <c r="B1" s="19" t="s">
        <v>1</v>
      </c>
      <c r="C1" s="20" t="s">
        <v>2</v>
      </c>
      <c r="D1" s="20" t="s">
        <v>3</v>
      </c>
      <c r="E1" s="16" t="s">
        <v>4</v>
      </c>
    </row>
    <row r="2" spans="1:5">
      <c r="A2" s="21">
        <v>1</v>
      </c>
      <c r="B2" s="21" t="s">
        <v>5</v>
      </c>
      <c r="C2" s="22" t="s">
        <v>6</v>
      </c>
      <c r="D2" s="22" t="s">
        <v>7</v>
      </c>
      <c r="E2" s="6"/>
    </row>
    <row r="3" spans="1:5">
      <c r="A3" s="21">
        <v>1</v>
      </c>
      <c r="B3" s="21" t="s">
        <v>8</v>
      </c>
      <c r="C3" s="22" t="s">
        <v>9</v>
      </c>
      <c r="D3" s="22" t="s">
        <v>7</v>
      </c>
      <c r="E3" s="6"/>
    </row>
    <row r="4" spans="1:5">
      <c r="A4" s="23">
        <v>2</v>
      </c>
      <c r="B4" s="23" t="s">
        <v>10</v>
      </c>
      <c r="C4" s="24" t="s">
        <v>11</v>
      </c>
      <c r="D4" s="24" t="s">
        <v>7</v>
      </c>
      <c r="E4" s="6"/>
    </row>
    <row r="5" spans="1:5">
      <c r="A5" s="23">
        <v>2</v>
      </c>
      <c r="B5" s="23" t="s">
        <v>12</v>
      </c>
      <c r="C5" s="24" t="s">
        <v>13</v>
      </c>
      <c r="D5" s="24" t="s">
        <v>7</v>
      </c>
      <c r="E5" s="6"/>
    </row>
    <row r="6" spans="1:5">
      <c r="A6" s="29">
        <v>3</v>
      </c>
      <c r="B6" s="29" t="s">
        <v>14</v>
      </c>
      <c r="C6" s="30" t="s">
        <v>15</v>
      </c>
      <c r="D6" s="30" t="s">
        <v>7</v>
      </c>
      <c r="E6" s="6" t="s">
        <v>16</v>
      </c>
    </row>
    <row r="7" spans="1:5">
      <c r="A7" s="27">
        <v>4</v>
      </c>
      <c r="B7" s="27" t="s">
        <v>17</v>
      </c>
      <c r="C7" s="28" t="s">
        <v>18</v>
      </c>
      <c r="D7" s="28" t="s">
        <v>19</v>
      </c>
      <c r="E7" s="6"/>
    </row>
    <row r="8" spans="1:5">
      <c r="A8" s="27">
        <v>4</v>
      </c>
      <c r="B8" s="27" t="s">
        <v>20</v>
      </c>
      <c r="C8" s="28" t="s">
        <v>21</v>
      </c>
      <c r="D8" s="28" t="s">
        <v>19</v>
      </c>
      <c r="E8" s="6"/>
    </row>
    <row r="9" spans="1:5">
      <c r="A9" s="25">
        <v>5</v>
      </c>
      <c r="B9" s="25" t="s">
        <v>22</v>
      </c>
      <c r="C9" s="26" t="s">
        <v>23</v>
      </c>
      <c r="D9" s="26" t="s">
        <v>19</v>
      </c>
      <c r="E9" s="6"/>
    </row>
    <row r="10" spans="1:5">
      <c r="A10" s="25">
        <v>5</v>
      </c>
      <c r="B10" s="25" t="s">
        <v>24</v>
      </c>
      <c r="C10" s="26" t="s">
        <v>23</v>
      </c>
      <c r="D10" s="26" t="s">
        <v>19</v>
      </c>
      <c r="E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3B1B-4AB5-4109-8941-E19EEAD7FC3C}">
  <dimension ref="A1:C21"/>
  <sheetViews>
    <sheetView workbookViewId="0">
      <selection activeCell="B22" sqref="B22"/>
    </sheetView>
  </sheetViews>
  <sheetFormatPr defaultColWidth="8.85546875" defaultRowHeight="15" customHeight="1"/>
  <cols>
    <col min="1" max="1" width="4.28515625" bestFit="1" customWidth="1"/>
    <col min="2" max="2" width="49.28515625" customWidth="1"/>
    <col min="3" max="3" width="6.28515625" style="2" bestFit="1" customWidth="1"/>
  </cols>
  <sheetData>
    <row r="1" spans="1:3">
      <c r="A1" s="16" t="s">
        <v>25</v>
      </c>
      <c r="B1" s="16" t="s">
        <v>26</v>
      </c>
      <c r="C1" s="19" t="s">
        <v>27</v>
      </c>
    </row>
    <row r="2" spans="1:3">
      <c r="A2" s="6" t="s">
        <v>28</v>
      </c>
      <c r="B2" s="6" t="s">
        <v>29</v>
      </c>
      <c r="C2" s="7">
        <v>1</v>
      </c>
    </row>
    <row r="3" spans="1:3">
      <c r="A3" s="6" t="s">
        <v>30</v>
      </c>
      <c r="B3" s="6" t="s">
        <v>31</v>
      </c>
      <c r="C3" s="7">
        <v>1</v>
      </c>
    </row>
    <row r="4" spans="1:3">
      <c r="A4" s="6" t="s">
        <v>32</v>
      </c>
      <c r="B4" s="6" t="s">
        <v>33</v>
      </c>
      <c r="C4" s="7">
        <v>1</v>
      </c>
    </row>
    <row r="5" spans="1:3">
      <c r="A5" s="6" t="s">
        <v>34</v>
      </c>
      <c r="B5" s="6" t="s">
        <v>35</v>
      </c>
      <c r="C5" s="7">
        <v>1</v>
      </c>
    </row>
    <row r="6" spans="1:3">
      <c r="A6" s="6" t="s">
        <v>36</v>
      </c>
      <c r="B6" s="6" t="s">
        <v>37</v>
      </c>
      <c r="C6" s="7">
        <v>1</v>
      </c>
    </row>
    <row r="7" spans="1:3">
      <c r="A7" s="6" t="s">
        <v>38</v>
      </c>
      <c r="B7" s="6" t="s">
        <v>39</v>
      </c>
      <c r="C7" s="7">
        <v>1</v>
      </c>
    </row>
    <row r="8" spans="1:3">
      <c r="A8" s="6" t="s">
        <v>40</v>
      </c>
      <c r="B8" s="6" t="s">
        <v>41</v>
      </c>
      <c r="C8" s="7">
        <v>1</v>
      </c>
    </row>
    <row r="9" spans="1:3">
      <c r="A9" s="6" t="s">
        <v>42</v>
      </c>
      <c r="B9" s="6" t="s">
        <v>43</v>
      </c>
      <c r="C9" s="7">
        <v>1</v>
      </c>
    </row>
    <row r="10" spans="1:3">
      <c r="A10" s="6" t="s">
        <v>44</v>
      </c>
      <c r="B10" s="6" t="s">
        <v>45</v>
      </c>
      <c r="C10" s="7">
        <v>1</v>
      </c>
    </row>
    <row r="11" spans="1:3">
      <c r="A11" s="6" t="s">
        <v>46</v>
      </c>
      <c r="B11" s="6" t="s">
        <v>47</v>
      </c>
      <c r="C11" s="7">
        <v>1</v>
      </c>
    </row>
    <row r="12" spans="1:3">
      <c r="A12" s="6" t="s">
        <v>48</v>
      </c>
      <c r="B12" s="6" t="s">
        <v>49</v>
      </c>
      <c r="C12" s="7">
        <v>1</v>
      </c>
    </row>
    <row r="13" spans="1:3">
      <c r="A13" s="6" t="s">
        <v>50</v>
      </c>
      <c r="B13" s="43" t="s">
        <v>51</v>
      </c>
      <c r="C13" s="7">
        <v>1</v>
      </c>
    </row>
    <row r="14" spans="1:3">
      <c r="A14" s="6" t="s">
        <v>52</v>
      </c>
      <c r="B14" s="43" t="s">
        <v>53</v>
      </c>
      <c r="C14" s="7">
        <v>2</v>
      </c>
    </row>
    <row r="15" spans="1:3">
      <c r="A15" s="6" t="s">
        <v>54</v>
      </c>
      <c r="B15" s="43" t="s">
        <v>55</v>
      </c>
      <c r="C15" s="7">
        <v>2</v>
      </c>
    </row>
    <row r="16" spans="1:3">
      <c r="A16" s="6" t="s">
        <v>56</v>
      </c>
      <c r="B16" s="43" t="s">
        <v>57</v>
      </c>
      <c r="C16" s="7">
        <v>2</v>
      </c>
    </row>
    <row r="17" spans="1:3">
      <c r="A17" s="6" t="s">
        <v>58</v>
      </c>
      <c r="B17" s="6" t="s">
        <v>59</v>
      </c>
      <c r="C17" s="7">
        <v>2</v>
      </c>
    </row>
    <row r="18" spans="1:3">
      <c r="A18" s="6" t="s">
        <v>60</v>
      </c>
      <c r="B18" s="6" t="s">
        <v>61</v>
      </c>
      <c r="C18" s="7">
        <v>2</v>
      </c>
    </row>
    <row r="19" spans="1:3">
      <c r="A19" s="6" t="s">
        <v>62</v>
      </c>
      <c r="B19" s="6" t="s">
        <v>63</v>
      </c>
      <c r="C19" s="7">
        <v>1</v>
      </c>
    </row>
    <row r="20" spans="1:3" ht="15" customHeight="1">
      <c r="A20" s="6" t="s">
        <v>64</v>
      </c>
      <c r="B20" s="6" t="s">
        <v>65</v>
      </c>
      <c r="C20" s="7">
        <v>1</v>
      </c>
    </row>
    <row r="21" spans="1:3" ht="15" customHeight="1">
      <c r="A21" s="6" t="s">
        <v>66</v>
      </c>
      <c r="B21" s="6" t="s">
        <v>67</v>
      </c>
      <c r="C21" s="7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7CA3-7579-469C-9C30-25392960A356}">
  <dimension ref="A1:B17"/>
  <sheetViews>
    <sheetView workbookViewId="0">
      <selection activeCell="B25" sqref="B25"/>
    </sheetView>
  </sheetViews>
  <sheetFormatPr defaultRowHeight="15"/>
  <cols>
    <col min="1" max="1" width="12.28515625" style="2" bestFit="1" customWidth="1"/>
    <col min="2" max="2" width="38.28515625" bestFit="1" customWidth="1"/>
  </cols>
  <sheetData>
    <row r="1" spans="1:2">
      <c r="A1" s="163" t="s">
        <v>68</v>
      </c>
      <c r="B1" s="162" t="s">
        <v>69</v>
      </c>
    </row>
    <row r="2" spans="1:2">
      <c r="A2" s="7" t="s">
        <v>70</v>
      </c>
      <c r="B2" s="6" t="s">
        <v>71</v>
      </c>
    </row>
    <row r="3" spans="1:2">
      <c r="A3" s="7" t="s">
        <v>72</v>
      </c>
      <c r="B3" s="6" t="s">
        <v>73</v>
      </c>
    </row>
    <row r="4" spans="1:2">
      <c r="A4" s="7" t="s">
        <v>74</v>
      </c>
      <c r="B4" s="6" t="s">
        <v>75</v>
      </c>
    </row>
    <row r="5" spans="1:2">
      <c r="A5" s="7" t="s">
        <v>76</v>
      </c>
      <c r="B5" s="6" t="s">
        <v>77</v>
      </c>
    </row>
    <row r="6" spans="1:2">
      <c r="A6" s="7" t="s">
        <v>78</v>
      </c>
      <c r="B6" s="6" t="s">
        <v>79</v>
      </c>
    </row>
    <row r="7" spans="1:2">
      <c r="A7" s="7" t="s">
        <v>80</v>
      </c>
      <c r="B7" s="6" t="s">
        <v>81</v>
      </c>
    </row>
    <row r="8" spans="1:2">
      <c r="A8" s="7" t="s">
        <v>82</v>
      </c>
      <c r="B8" s="6" t="s">
        <v>83</v>
      </c>
    </row>
    <row r="9" spans="1:2">
      <c r="A9" s="7" t="s">
        <v>84</v>
      </c>
      <c r="B9" s="6" t="s">
        <v>85</v>
      </c>
    </row>
    <row r="10" spans="1:2">
      <c r="A10" s="7" t="s">
        <v>86</v>
      </c>
      <c r="B10" s="6" t="s">
        <v>87</v>
      </c>
    </row>
    <row r="11" spans="1:2">
      <c r="A11" s="7" t="s">
        <v>88</v>
      </c>
      <c r="B11" s="6" t="s">
        <v>89</v>
      </c>
    </row>
    <row r="12" spans="1:2">
      <c r="A12" s="7" t="s">
        <v>90</v>
      </c>
      <c r="B12" s="6" t="s">
        <v>91</v>
      </c>
    </row>
    <row r="13" spans="1:2">
      <c r="A13" s="7" t="s">
        <v>92</v>
      </c>
      <c r="B13" s="6" t="s">
        <v>93</v>
      </c>
    </row>
    <row r="14" spans="1:2">
      <c r="A14" s="161" t="s">
        <v>94</v>
      </c>
      <c r="B14" s="160" t="s">
        <v>95</v>
      </c>
    </row>
    <row r="15" spans="1:2">
      <c r="A15" s="161" t="s">
        <v>96</v>
      </c>
      <c r="B15" s="160" t="s">
        <v>97</v>
      </c>
    </row>
    <row r="16" spans="1:2">
      <c r="A16" s="161" t="s">
        <v>98</v>
      </c>
      <c r="B16" s="160" t="s">
        <v>99</v>
      </c>
    </row>
    <row r="17" spans="1:2">
      <c r="A17" s="7" t="s">
        <v>100</v>
      </c>
      <c r="B17" s="6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D3A-F121-4806-8F81-33573A0262C4}">
  <dimension ref="A1:J86"/>
  <sheetViews>
    <sheetView tabSelected="1" workbookViewId="0">
      <pane ySplit="1" topLeftCell="A86" activePane="bottomLeft" state="frozen"/>
      <selection pane="bottomLeft" activeCell="J88" sqref="J88"/>
    </sheetView>
  </sheetViews>
  <sheetFormatPr defaultColWidth="8.85546875" defaultRowHeight="43.5" customHeight="1"/>
  <cols>
    <col min="1" max="1" width="11" style="47" bestFit="1" customWidth="1"/>
    <col min="2" max="2" width="9.28515625" style="54" bestFit="1" customWidth="1"/>
    <col min="3" max="3" width="11.5703125" style="3" bestFit="1" customWidth="1"/>
    <col min="4" max="4" width="11.5703125" style="3" customWidth="1"/>
    <col min="5" max="5" width="52.85546875" style="12" customWidth="1"/>
    <col min="6" max="7" width="12.28515625" style="3" customWidth="1"/>
    <col min="8" max="8" width="12.5703125" style="3" customWidth="1"/>
    <col min="9" max="9" width="19.5703125" style="3" customWidth="1"/>
    <col min="10" max="10" width="112.42578125" style="12" customWidth="1"/>
    <col min="11" max="16384" width="8.85546875" style="1"/>
  </cols>
  <sheetData>
    <row r="1" spans="1:10" ht="43.5" customHeight="1">
      <c r="A1" s="55" t="s">
        <v>102</v>
      </c>
      <c r="B1" s="53" t="s">
        <v>26</v>
      </c>
      <c r="C1" s="10" t="s">
        <v>0</v>
      </c>
      <c r="D1" s="10" t="s">
        <v>69</v>
      </c>
      <c r="E1" s="11" t="s">
        <v>103</v>
      </c>
      <c r="F1" s="10" t="s">
        <v>104</v>
      </c>
      <c r="G1" s="10" t="s">
        <v>3</v>
      </c>
      <c r="H1" s="10" t="s">
        <v>105</v>
      </c>
      <c r="I1" s="10" t="s">
        <v>106</v>
      </c>
      <c r="J1" s="11" t="s">
        <v>107</v>
      </c>
    </row>
    <row r="2" spans="1:10" ht="43.5" customHeight="1">
      <c r="A2" s="47" t="s">
        <v>108</v>
      </c>
      <c r="B2" s="54" t="s">
        <v>58</v>
      </c>
      <c r="C2" s="3">
        <v>1</v>
      </c>
      <c r="D2" s="3" t="s">
        <v>94</v>
      </c>
      <c r="E2" s="12" t="s">
        <v>109</v>
      </c>
      <c r="F2" s="5">
        <v>45595</v>
      </c>
      <c r="G2" s="3" t="s">
        <v>110</v>
      </c>
      <c r="H2" s="3" t="s">
        <v>111</v>
      </c>
      <c r="I2" s="3" t="s">
        <v>112</v>
      </c>
      <c r="J2" s="18" t="s">
        <v>113</v>
      </c>
    </row>
    <row r="3" spans="1:10" ht="43.5" customHeight="1">
      <c r="A3" s="47" t="s">
        <v>114</v>
      </c>
      <c r="B3" s="54" t="s">
        <v>28</v>
      </c>
      <c r="C3" s="3">
        <v>1</v>
      </c>
      <c r="D3" s="3" t="s">
        <v>94</v>
      </c>
      <c r="E3" s="12" t="s">
        <v>115</v>
      </c>
      <c r="F3" s="5">
        <v>45674</v>
      </c>
      <c r="G3" s="3" t="s">
        <v>110</v>
      </c>
      <c r="H3" s="3" t="s">
        <v>116</v>
      </c>
      <c r="I3" s="3" t="s">
        <v>117</v>
      </c>
      <c r="J3" s="18" t="s">
        <v>118</v>
      </c>
    </row>
    <row r="4" spans="1:10" ht="43.5" customHeight="1">
      <c r="A4" s="47" t="s">
        <v>119</v>
      </c>
      <c r="B4" s="54" t="s">
        <v>28</v>
      </c>
      <c r="C4" s="3">
        <v>1</v>
      </c>
      <c r="D4" s="3" t="s">
        <v>94</v>
      </c>
      <c r="E4" s="12" t="s">
        <v>120</v>
      </c>
      <c r="F4" s="5">
        <v>45733</v>
      </c>
      <c r="G4" s="3" t="s">
        <v>110</v>
      </c>
      <c r="H4" s="3" t="s">
        <v>116</v>
      </c>
      <c r="I4" s="3" t="s">
        <v>121</v>
      </c>
      <c r="J4" s="18" t="s">
        <v>122</v>
      </c>
    </row>
    <row r="5" spans="1:10" s="93" customFormat="1" ht="43.5" customHeight="1">
      <c r="A5" s="87" t="s">
        <v>123</v>
      </c>
      <c r="B5" s="88" t="s">
        <v>28</v>
      </c>
      <c r="C5" s="89">
        <v>1</v>
      </c>
      <c r="D5" s="89" t="s">
        <v>70</v>
      </c>
      <c r="E5" s="90" t="s">
        <v>124</v>
      </c>
      <c r="F5" s="91">
        <v>45743</v>
      </c>
      <c r="G5" s="89" t="s">
        <v>110</v>
      </c>
      <c r="H5" s="89" t="s">
        <v>125</v>
      </c>
      <c r="I5" s="89" t="s">
        <v>126</v>
      </c>
      <c r="J5" s="92" t="s">
        <v>127</v>
      </c>
    </row>
    <row r="6" spans="1:10" s="93" customFormat="1" ht="43.5" customHeight="1">
      <c r="A6" s="87" t="s">
        <v>128</v>
      </c>
      <c r="B6" s="88" t="s">
        <v>30</v>
      </c>
      <c r="C6" s="89">
        <v>1</v>
      </c>
      <c r="D6" s="89" t="s">
        <v>70</v>
      </c>
      <c r="E6" s="90" t="s">
        <v>129</v>
      </c>
      <c r="F6" s="91">
        <v>45695</v>
      </c>
      <c r="G6" s="89" t="s">
        <v>110</v>
      </c>
      <c r="H6" s="89" t="s">
        <v>130</v>
      </c>
      <c r="I6" s="89" t="s">
        <v>131</v>
      </c>
      <c r="J6" s="92" t="s">
        <v>132</v>
      </c>
    </row>
    <row r="7" spans="1:10" s="93" customFormat="1" ht="43.5" customHeight="1">
      <c r="A7" s="87" t="s">
        <v>133</v>
      </c>
      <c r="B7" s="88" t="s">
        <v>30</v>
      </c>
      <c r="C7" s="89">
        <v>1</v>
      </c>
      <c r="D7" s="89" t="s">
        <v>70</v>
      </c>
      <c r="E7" s="90" t="s">
        <v>134</v>
      </c>
      <c r="F7" s="91">
        <v>45695</v>
      </c>
      <c r="G7" s="89" t="s">
        <v>110</v>
      </c>
      <c r="H7" s="89" t="s">
        <v>130</v>
      </c>
      <c r="I7" s="89" t="s">
        <v>135</v>
      </c>
      <c r="J7" s="92" t="s">
        <v>136</v>
      </c>
    </row>
    <row r="8" spans="1:10" s="93" customFormat="1" ht="43.5" customHeight="1">
      <c r="A8" s="87" t="s">
        <v>137</v>
      </c>
      <c r="B8" s="88" t="s">
        <v>32</v>
      </c>
      <c r="C8" s="89">
        <v>1</v>
      </c>
      <c r="D8" s="89" t="s">
        <v>70</v>
      </c>
      <c r="E8" s="90" t="s">
        <v>138</v>
      </c>
      <c r="F8" s="91">
        <v>45728</v>
      </c>
      <c r="G8" s="89" t="s">
        <v>110</v>
      </c>
      <c r="H8" s="89" t="s">
        <v>116</v>
      </c>
      <c r="I8" s="89" t="s">
        <v>139</v>
      </c>
      <c r="J8" s="92" t="s">
        <v>140</v>
      </c>
    </row>
    <row r="9" spans="1:10" s="93" customFormat="1" ht="43.5" customHeight="1">
      <c r="A9" s="87" t="s">
        <v>141</v>
      </c>
      <c r="B9" s="88" t="s">
        <v>34</v>
      </c>
      <c r="C9" s="89">
        <v>1</v>
      </c>
      <c r="D9" s="89" t="s">
        <v>70</v>
      </c>
      <c r="E9" s="90" t="s">
        <v>142</v>
      </c>
      <c r="F9" s="91">
        <v>45740</v>
      </c>
      <c r="G9" s="89" t="s">
        <v>110</v>
      </c>
      <c r="H9" s="89" t="s">
        <v>116</v>
      </c>
      <c r="I9" s="89" t="s">
        <v>143</v>
      </c>
      <c r="J9" s="92" t="s">
        <v>144</v>
      </c>
    </row>
    <row r="10" spans="1:10" s="93" customFormat="1" ht="43.5" customHeight="1">
      <c r="A10" s="87" t="s">
        <v>145</v>
      </c>
      <c r="B10" s="88" t="s">
        <v>32</v>
      </c>
      <c r="C10" s="89">
        <v>2</v>
      </c>
      <c r="D10" s="89" t="s">
        <v>70</v>
      </c>
      <c r="E10" s="90" t="s">
        <v>146</v>
      </c>
      <c r="F10" s="91">
        <v>45761</v>
      </c>
      <c r="G10" s="91" t="s">
        <v>110</v>
      </c>
      <c r="H10" s="89" t="s">
        <v>116</v>
      </c>
      <c r="I10" s="89" t="s">
        <v>147</v>
      </c>
      <c r="J10" s="92" t="s">
        <v>148</v>
      </c>
    </row>
    <row r="11" spans="1:10" s="93" customFormat="1" ht="43.5" customHeight="1">
      <c r="A11" s="87" t="s">
        <v>149</v>
      </c>
      <c r="B11" s="88" t="s">
        <v>32</v>
      </c>
      <c r="C11" s="89">
        <v>2</v>
      </c>
      <c r="D11" s="89" t="s">
        <v>70</v>
      </c>
      <c r="E11" s="90" t="s">
        <v>150</v>
      </c>
      <c r="F11" s="91">
        <v>45806</v>
      </c>
      <c r="G11" s="89" t="s">
        <v>110</v>
      </c>
      <c r="H11" s="89" t="s">
        <v>116</v>
      </c>
      <c r="I11" s="89" t="s">
        <v>151</v>
      </c>
      <c r="J11" s="92" t="s">
        <v>152</v>
      </c>
    </row>
    <row r="12" spans="1:10" s="93" customFormat="1" ht="43.5" customHeight="1">
      <c r="A12" s="87" t="s">
        <v>153</v>
      </c>
      <c r="B12" s="88" t="s">
        <v>32</v>
      </c>
      <c r="C12" s="89">
        <v>2</v>
      </c>
      <c r="D12" s="89" t="s">
        <v>70</v>
      </c>
      <c r="E12" s="90" t="s">
        <v>154</v>
      </c>
      <c r="F12" s="91">
        <v>45806</v>
      </c>
      <c r="G12" s="89" t="s">
        <v>110</v>
      </c>
      <c r="H12" s="89" t="s">
        <v>116</v>
      </c>
      <c r="I12" s="89" t="s">
        <v>155</v>
      </c>
      <c r="J12" s="92" t="s">
        <v>156</v>
      </c>
    </row>
    <row r="13" spans="1:10" s="93" customFormat="1" ht="43.5" customHeight="1">
      <c r="A13" s="87" t="s">
        <v>157</v>
      </c>
      <c r="B13" s="88" t="s">
        <v>32</v>
      </c>
      <c r="C13" s="89">
        <v>2</v>
      </c>
      <c r="D13" s="89" t="s">
        <v>70</v>
      </c>
      <c r="E13" s="94" t="s">
        <v>158</v>
      </c>
      <c r="F13" s="91">
        <v>45814</v>
      </c>
      <c r="G13" s="89" t="s">
        <v>110</v>
      </c>
      <c r="H13" s="89" t="s">
        <v>116</v>
      </c>
      <c r="I13" s="89" t="s">
        <v>159</v>
      </c>
      <c r="J13" s="92" t="s">
        <v>160</v>
      </c>
    </row>
    <row r="14" spans="1:10" s="93" customFormat="1" ht="43.5" customHeight="1">
      <c r="A14" s="87" t="s">
        <v>161</v>
      </c>
      <c r="B14" s="88" t="s">
        <v>32</v>
      </c>
      <c r="C14" s="89">
        <v>2</v>
      </c>
      <c r="D14" s="89" t="s">
        <v>70</v>
      </c>
      <c r="E14" s="90" t="s">
        <v>162</v>
      </c>
      <c r="F14" s="91">
        <v>45814</v>
      </c>
      <c r="G14" s="89" t="s">
        <v>110</v>
      </c>
      <c r="H14" s="89" t="s">
        <v>116</v>
      </c>
      <c r="I14" s="89" t="s">
        <v>163</v>
      </c>
      <c r="J14" s="92" t="s">
        <v>164</v>
      </c>
    </row>
    <row r="15" spans="1:10" s="93" customFormat="1" ht="43.5" customHeight="1">
      <c r="A15" s="87" t="s">
        <v>165</v>
      </c>
      <c r="B15" s="88" t="s">
        <v>32</v>
      </c>
      <c r="C15" s="89">
        <v>2</v>
      </c>
      <c r="D15" s="89" t="s">
        <v>70</v>
      </c>
      <c r="E15" s="90" t="s">
        <v>166</v>
      </c>
      <c r="F15" s="91">
        <v>45855</v>
      </c>
      <c r="G15" s="89" t="s">
        <v>110</v>
      </c>
      <c r="H15" s="89" t="s">
        <v>116</v>
      </c>
      <c r="I15" s="89" t="s">
        <v>167</v>
      </c>
      <c r="J15" s="92" t="s">
        <v>168</v>
      </c>
    </row>
    <row r="16" spans="1:10" s="93" customFormat="1" ht="43.5" customHeight="1">
      <c r="A16" s="87" t="s">
        <v>169</v>
      </c>
      <c r="B16" s="88" t="s">
        <v>32</v>
      </c>
      <c r="C16" s="89">
        <v>2</v>
      </c>
      <c r="D16" s="89" t="s">
        <v>70</v>
      </c>
      <c r="E16" s="90" t="s">
        <v>170</v>
      </c>
      <c r="F16" s="91">
        <v>45867</v>
      </c>
      <c r="G16" s="89" t="s">
        <v>110</v>
      </c>
      <c r="H16" s="89" t="s">
        <v>116</v>
      </c>
      <c r="I16" s="89" t="s">
        <v>171</v>
      </c>
      <c r="J16" s="92" t="s">
        <v>172</v>
      </c>
    </row>
    <row r="17" spans="1:10" ht="43.5" customHeight="1">
      <c r="A17" s="47" t="s">
        <v>173</v>
      </c>
      <c r="B17" s="54" t="s">
        <v>32</v>
      </c>
      <c r="C17" s="3">
        <v>2</v>
      </c>
      <c r="D17" s="3" t="s">
        <v>90</v>
      </c>
      <c r="E17" s="12" t="s">
        <v>174</v>
      </c>
      <c r="F17" s="5">
        <v>45909</v>
      </c>
      <c r="G17" s="3" t="s">
        <v>110</v>
      </c>
      <c r="H17" s="3" t="s">
        <v>116</v>
      </c>
      <c r="I17" s="3" t="s">
        <v>175</v>
      </c>
      <c r="J17" s="18" t="s">
        <v>176</v>
      </c>
    </row>
    <row r="18" spans="1:10" s="93" customFormat="1" ht="43.5" customHeight="1">
      <c r="A18" s="87" t="s">
        <v>177</v>
      </c>
      <c r="B18" s="88" t="s">
        <v>32</v>
      </c>
      <c r="C18" s="89">
        <v>2</v>
      </c>
      <c r="D18" s="89" t="s">
        <v>70</v>
      </c>
      <c r="E18" s="90" t="s">
        <v>178</v>
      </c>
      <c r="F18" s="91">
        <v>45909</v>
      </c>
      <c r="G18" s="89" t="s">
        <v>110</v>
      </c>
      <c r="H18" s="89" t="s">
        <v>116</v>
      </c>
      <c r="I18" s="89" t="s">
        <v>179</v>
      </c>
      <c r="J18" s="92" t="s">
        <v>180</v>
      </c>
    </row>
    <row r="19" spans="1:10" s="93" customFormat="1" ht="43.5" customHeight="1">
      <c r="A19" s="87" t="s">
        <v>181</v>
      </c>
      <c r="B19" s="88" t="s">
        <v>32</v>
      </c>
      <c r="C19" s="89">
        <v>2</v>
      </c>
      <c r="D19" s="89" t="s">
        <v>70</v>
      </c>
      <c r="E19" s="90" t="s">
        <v>182</v>
      </c>
      <c r="F19" s="91">
        <v>45909</v>
      </c>
      <c r="G19" s="89" t="s">
        <v>110</v>
      </c>
      <c r="H19" s="89" t="s">
        <v>116</v>
      </c>
      <c r="I19" s="89" t="s">
        <v>183</v>
      </c>
      <c r="J19" s="92" t="s">
        <v>184</v>
      </c>
    </row>
    <row r="20" spans="1:10" ht="43.5" customHeight="1">
      <c r="A20" s="47" t="s">
        <v>185</v>
      </c>
      <c r="B20" s="54" t="s">
        <v>34</v>
      </c>
      <c r="C20" s="3">
        <v>2</v>
      </c>
      <c r="D20" s="3" t="s">
        <v>94</v>
      </c>
      <c r="E20" s="12" t="s">
        <v>186</v>
      </c>
      <c r="F20" s="5">
        <v>45780</v>
      </c>
      <c r="G20" s="3" t="s">
        <v>110</v>
      </c>
      <c r="H20" s="3" t="s">
        <v>116</v>
      </c>
      <c r="I20" s="3" t="s">
        <v>187</v>
      </c>
      <c r="J20" s="18" t="s">
        <v>188</v>
      </c>
    </row>
    <row r="21" spans="1:10" ht="43.5" customHeight="1">
      <c r="A21" s="47" t="s">
        <v>189</v>
      </c>
      <c r="B21" s="54" t="s">
        <v>34</v>
      </c>
      <c r="C21" s="3">
        <v>2</v>
      </c>
      <c r="D21" s="3" t="s">
        <v>80</v>
      </c>
      <c r="E21" s="12" t="s">
        <v>190</v>
      </c>
      <c r="F21" s="5">
        <v>45782</v>
      </c>
      <c r="G21" s="3" t="s">
        <v>110</v>
      </c>
      <c r="H21" s="3" t="s">
        <v>125</v>
      </c>
      <c r="I21" s="3" t="s">
        <v>191</v>
      </c>
      <c r="J21" s="18" t="s">
        <v>192</v>
      </c>
    </row>
    <row r="22" spans="1:10" ht="43.5" customHeight="1">
      <c r="A22" s="47" t="s">
        <v>193</v>
      </c>
      <c r="B22" s="54" t="s">
        <v>34</v>
      </c>
      <c r="C22" s="3">
        <v>2</v>
      </c>
      <c r="D22" s="3" t="s">
        <v>94</v>
      </c>
      <c r="E22" s="12" t="s">
        <v>194</v>
      </c>
      <c r="F22" s="5">
        <v>45887</v>
      </c>
      <c r="G22" s="3" t="s">
        <v>110</v>
      </c>
      <c r="H22" s="3" t="s">
        <v>125</v>
      </c>
      <c r="I22" s="3" t="s">
        <v>195</v>
      </c>
      <c r="J22" s="18" t="s">
        <v>196</v>
      </c>
    </row>
    <row r="23" spans="1:10" ht="43.5" customHeight="1">
      <c r="A23" s="47" t="s">
        <v>197</v>
      </c>
      <c r="B23" s="54" t="s">
        <v>34</v>
      </c>
      <c r="C23" s="3">
        <v>2</v>
      </c>
      <c r="D23" s="3" t="s">
        <v>72</v>
      </c>
      <c r="E23" s="12" t="s">
        <v>198</v>
      </c>
      <c r="F23" s="5">
        <v>45912</v>
      </c>
      <c r="G23" s="3" t="s">
        <v>110</v>
      </c>
      <c r="H23" s="3" t="s">
        <v>125</v>
      </c>
      <c r="I23" s="3" t="s">
        <v>199</v>
      </c>
      <c r="J23" s="18" t="s">
        <v>200</v>
      </c>
    </row>
    <row r="24" spans="1:10" s="93" customFormat="1" ht="43.5" customHeight="1">
      <c r="A24" s="87" t="s">
        <v>201</v>
      </c>
      <c r="B24" s="88" t="s">
        <v>34</v>
      </c>
      <c r="C24" s="89">
        <v>2</v>
      </c>
      <c r="D24" s="89" t="s">
        <v>70</v>
      </c>
      <c r="E24" s="90" t="s">
        <v>202</v>
      </c>
      <c r="F24" s="91">
        <v>45923</v>
      </c>
      <c r="G24" s="89" t="s">
        <v>110</v>
      </c>
      <c r="H24" s="89" t="s">
        <v>125</v>
      </c>
      <c r="I24" s="89" t="s">
        <v>203</v>
      </c>
      <c r="J24" s="92" t="s">
        <v>204</v>
      </c>
    </row>
    <row r="25" spans="1:10" s="93" customFormat="1" ht="43.5" customHeight="1">
      <c r="A25" s="87" t="s">
        <v>205</v>
      </c>
      <c r="B25" s="88" t="s">
        <v>28</v>
      </c>
      <c r="C25" s="89">
        <v>2</v>
      </c>
      <c r="D25" s="89" t="s">
        <v>70</v>
      </c>
      <c r="E25" s="90" t="s">
        <v>206</v>
      </c>
      <c r="F25" s="91">
        <v>45791</v>
      </c>
      <c r="G25" s="89" t="s">
        <v>110</v>
      </c>
      <c r="H25" s="89" t="s">
        <v>116</v>
      </c>
      <c r="I25" s="89" t="s">
        <v>207</v>
      </c>
      <c r="J25" s="92" t="s">
        <v>208</v>
      </c>
    </row>
    <row r="26" spans="1:10" s="93" customFormat="1" ht="43.5" customHeight="1">
      <c r="A26" s="87" t="s">
        <v>209</v>
      </c>
      <c r="B26" s="88" t="s">
        <v>28</v>
      </c>
      <c r="C26" s="89">
        <v>2</v>
      </c>
      <c r="D26" s="89" t="s">
        <v>70</v>
      </c>
      <c r="E26" s="90" t="s">
        <v>210</v>
      </c>
      <c r="F26" s="91">
        <v>45791</v>
      </c>
      <c r="G26" s="89" t="s">
        <v>110</v>
      </c>
      <c r="H26" s="89" t="s">
        <v>116</v>
      </c>
      <c r="I26" s="89" t="s">
        <v>211</v>
      </c>
      <c r="J26" s="92" t="s">
        <v>212</v>
      </c>
    </row>
    <row r="27" spans="1:10" ht="43.5" customHeight="1">
      <c r="A27" s="47" t="s">
        <v>213</v>
      </c>
      <c r="B27" s="54" t="s">
        <v>28</v>
      </c>
      <c r="C27" s="3">
        <v>2</v>
      </c>
      <c r="D27" s="3" t="s">
        <v>94</v>
      </c>
      <c r="E27" s="12" t="s">
        <v>214</v>
      </c>
      <c r="F27" s="5">
        <v>45820</v>
      </c>
      <c r="G27" s="3" t="s">
        <v>110</v>
      </c>
      <c r="H27" s="3" t="s">
        <v>116</v>
      </c>
      <c r="I27" s="3" t="s">
        <v>215</v>
      </c>
      <c r="J27" s="18" t="s">
        <v>216</v>
      </c>
    </row>
    <row r="28" spans="1:10" ht="43.5" customHeight="1">
      <c r="A28" s="47" t="s">
        <v>217</v>
      </c>
      <c r="B28" s="54" t="s">
        <v>28</v>
      </c>
      <c r="C28" s="3">
        <v>2</v>
      </c>
      <c r="D28" s="3" t="s">
        <v>94</v>
      </c>
      <c r="E28" s="12" t="s">
        <v>218</v>
      </c>
      <c r="F28" s="5">
        <v>45820</v>
      </c>
      <c r="G28" s="3" t="s">
        <v>110</v>
      </c>
      <c r="H28" s="3" t="s">
        <v>116</v>
      </c>
      <c r="I28" s="3" t="s">
        <v>219</v>
      </c>
      <c r="J28" s="18" t="s">
        <v>220</v>
      </c>
    </row>
    <row r="29" spans="1:10" ht="43.5" customHeight="1">
      <c r="A29" s="47" t="s">
        <v>221</v>
      </c>
      <c r="B29" s="54" t="s">
        <v>28</v>
      </c>
      <c r="C29" s="3">
        <v>2</v>
      </c>
      <c r="D29" s="3" t="s">
        <v>94</v>
      </c>
      <c r="E29" s="12" t="s">
        <v>222</v>
      </c>
      <c r="F29" s="5">
        <v>45869</v>
      </c>
      <c r="G29" s="3" t="s">
        <v>110</v>
      </c>
      <c r="H29" s="3" t="s">
        <v>116</v>
      </c>
      <c r="I29" s="3" t="s">
        <v>223</v>
      </c>
      <c r="J29" s="18" t="s">
        <v>224</v>
      </c>
    </row>
    <row r="30" spans="1:10" s="93" customFormat="1" ht="43.5" customHeight="1">
      <c r="A30" s="87" t="s">
        <v>225</v>
      </c>
      <c r="B30" s="88" t="s">
        <v>36</v>
      </c>
      <c r="C30" s="89">
        <v>2</v>
      </c>
      <c r="D30" s="89" t="s">
        <v>70</v>
      </c>
      <c r="E30" s="90" t="s">
        <v>226</v>
      </c>
      <c r="F30" s="91">
        <v>45807</v>
      </c>
      <c r="G30" s="89" t="s">
        <v>110</v>
      </c>
      <c r="H30" s="89" t="s">
        <v>116</v>
      </c>
      <c r="I30" s="89" t="s">
        <v>227</v>
      </c>
      <c r="J30" s="92" t="s">
        <v>228</v>
      </c>
    </row>
    <row r="31" spans="1:10" s="93" customFormat="1" ht="43.5" customHeight="1">
      <c r="A31" s="87" t="s">
        <v>229</v>
      </c>
      <c r="B31" s="88" t="s">
        <v>36</v>
      </c>
      <c r="C31" s="89">
        <v>2</v>
      </c>
      <c r="D31" s="89" t="s">
        <v>70</v>
      </c>
      <c r="E31" s="90" t="s">
        <v>230</v>
      </c>
      <c r="F31" s="91">
        <v>45807</v>
      </c>
      <c r="G31" s="89" t="s">
        <v>110</v>
      </c>
      <c r="H31" s="89" t="s">
        <v>116</v>
      </c>
      <c r="I31" s="89" t="s">
        <v>231</v>
      </c>
      <c r="J31" s="92" t="s">
        <v>232</v>
      </c>
    </row>
    <row r="32" spans="1:10" s="93" customFormat="1" ht="43.5" customHeight="1">
      <c r="A32" s="87" t="s">
        <v>233</v>
      </c>
      <c r="B32" s="88" t="s">
        <v>38</v>
      </c>
      <c r="C32" s="89">
        <v>2</v>
      </c>
      <c r="D32" s="89" t="s">
        <v>70</v>
      </c>
      <c r="E32" s="90" t="s">
        <v>234</v>
      </c>
      <c r="F32" s="91">
        <v>45840</v>
      </c>
      <c r="G32" s="89" t="s">
        <v>110</v>
      </c>
      <c r="H32" s="89" t="s">
        <v>116</v>
      </c>
      <c r="I32" s="89" t="s">
        <v>235</v>
      </c>
      <c r="J32" s="92" t="s">
        <v>236</v>
      </c>
    </row>
    <row r="33" spans="1:10" s="93" customFormat="1" ht="43.5" customHeight="1">
      <c r="A33" s="87" t="s">
        <v>237</v>
      </c>
      <c r="B33" s="88" t="s">
        <v>38</v>
      </c>
      <c r="C33" s="89">
        <v>2</v>
      </c>
      <c r="D33" s="89" t="s">
        <v>70</v>
      </c>
      <c r="E33" s="90" t="s">
        <v>238</v>
      </c>
      <c r="F33" s="91">
        <v>45840</v>
      </c>
      <c r="G33" s="89" t="s">
        <v>110</v>
      </c>
      <c r="H33" s="89" t="s">
        <v>116</v>
      </c>
      <c r="I33" s="89" t="s">
        <v>239</v>
      </c>
      <c r="J33" s="92" t="s">
        <v>240</v>
      </c>
    </row>
    <row r="34" spans="1:10" ht="43.5" customHeight="1">
      <c r="A34" s="47" t="s">
        <v>241</v>
      </c>
      <c r="B34" s="54" t="s">
        <v>40</v>
      </c>
      <c r="C34" s="3">
        <v>2</v>
      </c>
      <c r="D34" s="3" t="s">
        <v>90</v>
      </c>
      <c r="E34" s="12" t="s">
        <v>242</v>
      </c>
      <c r="F34" s="5">
        <v>45859</v>
      </c>
      <c r="G34" s="3" t="s">
        <v>110</v>
      </c>
      <c r="H34" s="3" t="s">
        <v>116</v>
      </c>
      <c r="I34" s="3" t="s">
        <v>243</v>
      </c>
      <c r="J34" s="18" t="s">
        <v>244</v>
      </c>
    </row>
    <row r="35" spans="1:10" ht="43.5" customHeight="1">
      <c r="A35" s="47" t="s">
        <v>245</v>
      </c>
      <c r="B35" s="54" t="s">
        <v>40</v>
      </c>
      <c r="C35" s="3">
        <v>2</v>
      </c>
      <c r="D35" s="3" t="s">
        <v>90</v>
      </c>
      <c r="E35" s="12" t="s">
        <v>246</v>
      </c>
      <c r="F35" s="5">
        <v>45912</v>
      </c>
      <c r="G35" s="3" t="s">
        <v>110</v>
      </c>
      <c r="H35" s="3" t="s">
        <v>116</v>
      </c>
      <c r="I35" s="3" t="s">
        <v>247</v>
      </c>
      <c r="J35" s="18" t="s">
        <v>248</v>
      </c>
    </row>
    <row r="36" spans="1:10" ht="43.5" customHeight="1">
      <c r="A36" s="47" t="s">
        <v>249</v>
      </c>
      <c r="B36" s="54" t="s">
        <v>42</v>
      </c>
      <c r="C36" s="3">
        <v>2</v>
      </c>
      <c r="D36" s="3" t="s">
        <v>94</v>
      </c>
      <c r="E36" s="12" t="s">
        <v>250</v>
      </c>
      <c r="F36" s="5">
        <v>45859</v>
      </c>
      <c r="G36" s="3" t="s">
        <v>110</v>
      </c>
      <c r="H36" s="3" t="s">
        <v>116</v>
      </c>
      <c r="I36" s="3" t="s">
        <v>251</v>
      </c>
      <c r="J36" s="18" t="s">
        <v>252</v>
      </c>
    </row>
    <row r="37" spans="1:10" ht="43.5" customHeight="1">
      <c r="A37" s="47" t="s">
        <v>253</v>
      </c>
      <c r="B37" s="54" t="s">
        <v>44</v>
      </c>
      <c r="C37" s="3">
        <v>2</v>
      </c>
      <c r="D37" s="3" t="s">
        <v>70</v>
      </c>
      <c r="E37" s="12" t="s">
        <v>254</v>
      </c>
      <c r="F37" s="5">
        <v>45915</v>
      </c>
      <c r="G37" s="3" t="s">
        <v>110</v>
      </c>
      <c r="H37" s="3" t="s">
        <v>116</v>
      </c>
      <c r="I37" s="3" t="s">
        <v>255</v>
      </c>
      <c r="J37" s="18" t="s">
        <v>256</v>
      </c>
    </row>
    <row r="38" spans="1:10" ht="43.5" customHeight="1">
      <c r="A38" s="47" t="s">
        <v>257</v>
      </c>
      <c r="B38" s="54" t="s">
        <v>46</v>
      </c>
      <c r="C38" s="3">
        <v>2</v>
      </c>
      <c r="D38" s="3" t="s">
        <v>70</v>
      </c>
      <c r="E38" s="12" t="s">
        <v>258</v>
      </c>
      <c r="F38" s="5">
        <v>45919</v>
      </c>
      <c r="G38" s="3" t="s">
        <v>110</v>
      </c>
      <c r="H38" s="3" t="s">
        <v>116</v>
      </c>
      <c r="I38" s="3" t="s">
        <v>259</v>
      </c>
      <c r="J38" s="18" t="s">
        <v>260</v>
      </c>
    </row>
    <row r="39" spans="1:10" s="93" customFormat="1" ht="43.5" customHeight="1">
      <c r="A39" s="87" t="s">
        <v>261</v>
      </c>
      <c r="B39" s="88" t="s">
        <v>30</v>
      </c>
      <c r="C39" s="89">
        <v>2</v>
      </c>
      <c r="D39" s="89" t="s">
        <v>70</v>
      </c>
      <c r="E39" s="90" t="s">
        <v>262</v>
      </c>
      <c r="F39" s="91">
        <v>45930</v>
      </c>
      <c r="G39" s="89" t="s">
        <v>110</v>
      </c>
      <c r="H39" s="89" t="s">
        <v>116</v>
      </c>
      <c r="I39" s="89" t="s">
        <v>263</v>
      </c>
      <c r="J39" s="92" t="s">
        <v>264</v>
      </c>
    </row>
    <row r="40" spans="1:10" ht="43.5" customHeight="1">
      <c r="A40" s="47" t="s">
        <v>265</v>
      </c>
      <c r="B40" s="54" t="s">
        <v>46</v>
      </c>
      <c r="C40" s="3">
        <v>3</v>
      </c>
      <c r="D40" s="3" t="s">
        <v>94</v>
      </c>
      <c r="E40" s="12" t="s">
        <v>266</v>
      </c>
      <c r="F40" s="5">
        <v>45962</v>
      </c>
      <c r="G40" s="3" t="s">
        <v>110</v>
      </c>
      <c r="H40" s="3" t="s">
        <v>116</v>
      </c>
      <c r="I40" s="3" t="s">
        <v>267</v>
      </c>
      <c r="J40" s="18" t="s">
        <v>268</v>
      </c>
    </row>
    <row r="41" spans="1:10" ht="43.5" customHeight="1">
      <c r="A41" s="47" t="s">
        <v>269</v>
      </c>
      <c r="B41" s="54" t="s">
        <v>46</v>
      </c>
      <c r="C41" s="3">
        <v>3</v>
      </c>
      <c r="D41" s="3" t="s">
        <v>94</v>
      </c>
      <c r="E41" s="12" t="s">
        <v>270</v>
      </c>
      <c r="F41" s="5">
        <v>45962</v>
      </c>
      <c r="G41" s="3" t="s">
        <v>110</v>
      </c>
      <c r="H41" s="3" t="s">
        <v>116</v>
      </c>
      <c r="I41" s="3" t="s">
        <v>271</v>
      </c>
      <c r="J41" s="18" t="s">
        <v>272</v>
      </c>
    </row>
    <row r="42" spans="1:10" ht="43.5" customHeight="1">
      <c r="A42" s="47" t="s">
        <v>273</v>
      </c>
      <c r="B42" s="54" t="s">
        <v>46</v>
      </c>
      <c r="C42" s="3">
        <v>3</v>
      </c>
      <c r="D42" s="3" t="s">
        <v>96</v>
      </c>
      <c r="E42" s="12" t="s">
        <v>274</v>
      </c>
      <c r="F42" s="5">
        <v>45989</v>
      </c>
      <c r="G42" s="3" t="s">
        <v>110</v>
      </c>
      <c r="H42" s="3" t="s">
        <v>116</v>
      </c>
      <c r="I42" s="3" t="s">
        <v>275</v>
      </c>
      <c r="J42" s="18" t="s">
        <v>276</v>
      </c>
    </row>
    <row r="43" spans="1:10" ht="43.5" customHeight="1">
      <c r="A43" s="47" t="s">
        <v>277</v>
      </c>
      <c r="B43" s="54" t="s">
        <v>46</v>
      </c>
      <c r="C43" s="3">
        <v>3</v>
      </c>
      <c r="D43" s="3" t="s">
        <v>96</v>
      </c>
      <c r="E43" s="12" t="s">
        <v>278</v>
      </c>
      <c r="F43" s="5">
        <v>45999</v>
      </c>
      <c r="G43" s="3" t="s">
        <v>110</v>
      </c>
      <c r="H43" s="3" t="s">
        <v>116</v>
      </c>
      <c r="I43" s="3" t="s">
        <v>279</v>
      </c>
      <c r="J43" s="18" t="s">
        <v>280</v>
      </c>
    </row>
    <row r="44" spans="1:10" ht="43.5" customHeight="1">
      <c r="A44" s="47" t="s">
        <v>281</v>
      </c>
      <c r="B44" s="54" t="s">
        <v>46</v>
      </c>
      <c r="C44" s="3">
        <v>3</v>
      </c>
      <c r="D44" s="3" t="s">
        <v>82</v>
      </c>
      <c r="E44" s="12" t="s">
        <v>282</v>
      </c>
      <c r="F44" s="5">
        <v>46003</v>
      </c>
      <c r="G44" s="3" t="s">
        <v>110</v>
      </c>
      <c r="H44" s="3" t="s">
        <v>116</v>
      </c>
      <c r="I44" s="3" t="s">
        <v>283</v>
      </c>
      <c r="J44" s="18" t="s">
        <v>284</v>
      </c>
    </row>
    <row r="45" spans="1:10" ht="43.5" customHeight="1">
      <c r="A45" s="47" t="s">
        <v>285</v>
      </c>
      <c r="B45" s="54" t="s">
        <v>46</v>
      </c>
      <c r="C45" s="3">
        <v>3</v>
      </c>
      <c r="D45" s="3" t="s">
        <v>96</v>
      </c>
      <c r="E45" s="12" t="s">
        <v>286</v>
      </c>
      <c r="F45" s="5">
        <v>46055</v>
      </c>
      <c r="G45" s="3" t="s">
        <v>110</v>
      </c>
      <c r="H45" s="3" t="s">
        <v>116</v>
      </c>
      <c r="I45" s="3" t="s">
        <v>287</v>
      </c>
      <c r="J45" s="18" t="s">
        <v>288</v>
      </c>
    </row>
    <row r="46" spans="1:10" ht="43.5" customHeight="1">
      <c r="A46" s="47" t="s">
        <v>289</v>
      </c>
      <c r="B46" s="54" t="s">
        <v>46</v>
      </c>
      <c r="C46" s="3">
        <v>3</v>
      </c>
      <c r="D46" s="3" t="s">
        <v>98</v>
      </c>
      <c r="E46" s="12" t="s">
        <v>290</v>
      </c>
      <c r="F46" s="5">
        <v>46055</v>
      </c>
      <c r="G46" s="3" t="s">
        <v>110</v>
      </c>
      <c r="H46" s="3" t="s">
        <v>291</v>
      </c>
      <c r="I46" s="3" t="s">
        <v>292</v>
      </c>
      <c r="J46" s="18" t="s">
        <v>293</v>
      </c>
    </row>
    <row r="47" spans="1:10" ht="43.5" customHeight="1">
      <c r="A47" s="47" t="s">
        <v>294</v>
      </c>
      <c r="B47" s="54" t="s">
        <v>46</v>
      </c>
      <c r="C47" s="3">
        <v>3</v>
      </c>
      <c r="D47" s="3" t="s">
        <v>98</v>
      </c>
      <c r="E47" s="12" t="s">
        <v>295</v>
      </c>
      <c r="F47" s="5">
        <v>46097</v>
      </c>
      <c r="G47" s="3" t="s">
        <v>110</v>
      </c>
      <c r="H47" s="3" t="s">
        <v>291</v>
      </c>
      <c r="I47" s="3" t="s">
        <v>296</v>
      </c>
      <c r="J47" s="18" t="s">
        <v>297</v>
      </c>
    </row>
    <row r="48" spans="1:10" ht="43.5" customHeight="1">
      <c r="A48" s="47" t="s">
        <v>298</v>
      </c>
      <c r="B48" s="54" t="s">
        <v>46</v>
      </c>
      <c r="C48" s="3">
        <v>3</v>
      </c>
      <c r="D48" s="3" t="s">
        <v>98</v>
      </c>
      <c r="E48" s="12" t="s">
        <v>299</v>
      </c>
      <c r="F48" s="5">
        <v>46097</v>
      </c>
      <c r="G48" s="3" t="s">
        <v>110</v>
      </c>
      <c r="H48" s="3" t="s">
        <v>291</v>
      </c>
      <c r="I48" s="3" t="s">
        <v>300</v>
      </c>
      <c r="J48" s="18" t="s">
        <v>301</v>
      </c>
    </row>
    <row r="49" spans="1:10" ht="43.5" customHeight="1">
      <c r="A49" s="47" t="s">
        <v>302</v>
      </c>
      <c r="B49" s="54" t="s">
        <v>46</v>
      </c>
      <c r="C49" s="3">
        <v>3</v>
      </c>
      <c r="D49" s="3" t="s">
        <v>100</v>
      </c>
      <c r="E49" s="12" t="s">
        <v>303</v>
      </c>
      <c r="F49" s="5">
        <v>46097</v>
      </c>
      <c r="G49" s="3" t="s">
        <v>110</v>
      </c>
      <c r="H49" s="3" t="s">
        <v>291</v>
      </c>
      <c r="I49" s="3" t="s">
        <v>304</v>
      </c>
      <c r="J49" s="18" t="s">
        <v>305</v>
      </c>
    </row>
    <row r="50" spans="1:10" ht="43.5" customHeight="1">
      <c r="A50" s="47" t="s">
        <v>306</v>
      </c>
      <c r="B50" s="54" t="s">
        <v>36</v>
      </c>
      <c r="C50" s="3">
        <v>3</v>
      </c>
      <c r="D50" s="3" t="s">
        <v>78</v>
      </c>
      <c r="E50" s="12" t="s">
        <v>307</v>
      </c>
      <c r="F50" s="5">
        <v>45980</v>
      </c>
      <c r="G50" s="3" t="s">
        <v>110</v>
      </c>
      <c r="H50" s="3" t="s">
        <v>116</v>
      </c>
      <c r="I50" s="3" t="s">
        <v>308</v>
      </c>
      <c r="J50" s="18" t="s">
        <v>309</v>
      </c>
    </row>
    <row r="51" spans="1:10" ht="43.5" customHeight="1">
      <c r="A51" s="47" t="s">
        <v>310</v>
      </c>
      <c r="B51" s="54" t="s">
        <v>36</v>
      </c>
      <c r="C51" s="3">
        <v>3</v>
      </c>
      <c r="D51" s="3" t="s">
        <v>78</v>
      </c>
      <c r="E51" s="12" t="s">
        <v>311</v>
      </c>
      <c r="F51" s="5">
        <v>46027</v>
      </c>
      <c r="G51" s="3" t="s">
        <v>110</v>
      </c>
      <c r="H51" s="3" t="s">
        <v>116</v>
      </c>
      <c r="I51" s="3" t="s">
        <v>312</v>
      </c>
      <c r="J51" s="18" t="s">
        <v>313</v>
      </c>
    </row>
    <row r="52" spans="1:10" ht="43.5" customHeight="1">
      <c r="A52" s="47" t="s">
        <v>314</v>
      </c>
      <c r="B52" s="54" t="s">
        <v>36</v>
      </c>
      <c r="C52" s="3">
        <v>3</v>
      </c>
      <c r="D52" s="3" t="s">
        <v>78</v>
      </c>
      <c r="E52" s="12" t="s">
        <v>315</v>
      </c>
      <c r="F52" s="5">
        <v>46055</v>
      </c>
      <c r="G52" s="3" t="s">
        <v>110</v>
      </c>
      <c r="H52" s="3" t="s">
        <v>116</v>
      </c>
      <c r="I52" s="3" t="s">
        <v>316</v>
      </c>
      <c r="J52" s="18" t="s">
        <v>317</v>
      </c>
    </row>
    <row r="53" spans="1:10" ht="43.5" customHeight="1">
      <c r="A53" s="47" t="s">
        <v>318</v>
      </c>
      <c r="B53" s="54" t="s">
        <v>28</v>
      </c>
      <c r="C53" s="3">
        <v>3</v>
      </c>
      <c r="D53" s="3" t="s">
        <v>94</v>
      </c>
      <c r="E53" s="12" t="s">
        <v>319</v>
      </c>
      <c r="F53" s="5">
        <v>46007</v>
      </c>
      <c r="G53" s="3" t="s">
        <v>110</v>
      </c>
      <c r="H53" s="3" t="s">
        <v>291</v>
      </c>
      <c r="I53" s="3" t="s">
        <v>320</v>
      </c>
      <c r="J53" s="18" t="s">
        <v>321</v>
      </c>
    </row>
    <row r="54" spans="1:10" ht="43.5" customHeight="1">
      <c r="A54" s="47" t="s">
        <v>322</v>
      </c>
      <c r="B54" s="54" t="s">
        <v>28</v>
      </c>
      <c r="C54" s="3">
        <v>3</v>
      </c>
      <c r="D54" s="3" t="s">
        <v>100</v>
      </c>
      <c r="E54" s="12" t="s">
        <v>323</v>
      </c>
      <c r="F54" s="5">
        <v>46055</v>
      </c>
      <c r="G54" s="3" t="s">
        <v>110</v>
      </c>
      <c r="H54" s="3" t="s">
        <v>291</v>
      </c>
      <c r="I54" s="3" t="s">
        <v>324</v>
      </c>
      <c r="J54" s="18" t="s">
        <v>325</v>
      </c>
    </row>
    <row r="55" spans="1:10" ht="43.5" customHeight="1">
      <c r="A55" s="47" t="s">
        <v>326</v>
      </c>
      <c r="B55" s="54" t="s">
        <v>28</v>
      </c>
      <c r="C55" s="3">
        <v>3</v>
      </c>
      <c r="D55" s="3" t="s">
        <v>94</v>
      </c>
      <c r="E55" s="12" t="s">
        <v>327</v>
      </c>
      <c r="F55" s="5">
        <v>46055</v>
      </c>
      <c r="G55" s="3" t="s">
        <v>110</v>
      </c>
      <c r="H55" s="3" t="s">
        <v>291</v>
      </c>
      <c r="I55" s="3" t="s">
        <v>328</v>
      </c>
      <c r="J55" s="18" t="s">
        <v>329</v>
      </c>
    </row>
    <row r="56" spans="1:10" s="93" customFormat="1" ht="43.5" customHeight="1">
      <c r="A56" s="87" t="s">
        <v>330</v>
      </c>
      <c r="B56" s="88" t="s">
        <v>32</v>
      </c>
      <c r="C56" s="89">
        <v>3</v>
      </c>
      <c r="D56" s="89" t="s">
        <v>70</v>
      </c>
      <c r="E56" s="90" t="s">
        <v>331</v>
      </c>
      <c r="F56" s="91">
        <v>45938</v>
      </c>
      <c r="G56" s="89" t="s">
        <v>110</v>
      </c>
      <c r="H56" s="89" t="s">
        <v>116</v>
      </c>
      <c r="I56" s="89" t="s">
        <v>332</v>
      </c>
      <c r="J56" s="92" t="s">
        <v>333</v>
      </c>
    </row>
    <row r="57" spans="1:10" s="93" customFormat="1" ht="43.5" customHeight="1">
      <c r="A57" s="87" t="s">
        <v>334</v>
      </c>
      <c r="B57" s="88" t="s">
        <v>32</v>
      </c>
      <c r="C57" s="89">
        <v>3</v>
      </c>
      <c r="D57" s="89" t="s">
        <v>86</v>
      </c>
      <c r="E57" s="90" t="s">
        <v>335</v>
      </c>
      <c r="F57" s="91">
        <v>45995</v>
      </c>
      <c r="G57" s="89" t="s">
        <v>110</v>
      </c>
      <c r="H57" s="89" t="s">
        <v>116</v>
      </c>
      <c r="I57" s="89" t="s">
        <v>336</v>
      </c>
      <c r="J57" s="92" t="s">
        <v>337</v>
      </c>
    </row>
    <row r="58" spans="1:10" s="93" customFormat="1" ht="43.5" customHeight="1">
      <c r="A58" s="87" t="s">
        <v>338</v>
      </c>
      <c r="B58" s="88" t="s">
        <v>32</v>
      </c>
      <c r="C58" s="89">
        <v>3</v>
      </c>
      <c r="D58" s="89" t="s">
        <v>70</v>
      </c>
      <c r="E58" s="90" t="s">
        <v>339</v>
      </c>
      <c r="F58" s="91">
        <v>45995</v>
      </c>
      <c r="G58" s="89" t="s">
        <v>110</v>
      </c>
      <c r="H58" s="89" t="s">
        <v>116</v>
      </c>
      <c r="I58" s="89" t="s">
        <v>340</v>
      </c>
      <c r="J58" s="92" t="s">
        <v>341</v>
      </c>
    </row>
    <row r="59" spans="1:10" s="66" customFormat="1" ht="43.5" customHeight="1">
      <c r="A59" s="59" t="s">
        <v>342</v>
      </c>
      <c r="B59" s="61" t="s">
        <v>36</v>
      </c>
      <c r="C59" s="62">
        <v>3</v>
      </c>
      <c r="D59" s="62" t="s">
        <v>70</v>
      </c>
      <c r="E59" s="63" t="s">
        <v>343</v>
      </c>
      <c r="F59" s="64">
        <v>46010</v>
      </c>
      <c r="G59" s="62" t="s">
        <v>110</v>
      </c>
      <c r="H59" s="62" t="s">
        <v>116</v>
      </c>
      <c r="I59" s="62" t="s">
        <v>344</v>
      </c>
      <c r="J59" s="65" t="s">
        <v>345</v>
      </c>
    </row>
    <row r="60" spans="1:10" ht="43.5" customHeight="1">
      <c r="A60" s="47" t="s">
        <v>346</v>
      </c>
      <c r="B60" s="54" t="s">
        <v>36</v>
      </c>
      <c r="C60" s="3">
        <v>3</v>
      </c>
      <c r="D60" s="3" t="s">
        <v>78</v>
      </c>
      <c r="E60" s="12" t="s">
        <v>347</v>
      </c>
      <c r="F60" s="5">
        <v>46052</v>
      </c>
      <c r="G60" s="3" t="s">
        <v>110</v>
      </c>
      <c r="H60" s="3" t="s">
        <v>291</v>
      </c>
      <c r="I60" s="3" t="s">
        <v>348</v>
      </c>
      <c r="J60" s="18" t="s">
        <v>349</v>
      </c>
    </row>
    <row r="61" spans="1:10" ht="43.5" customHeight="1">
      <c r="A61" s="47" t="s">
        <v>350</v>
      </c>
      <c r="B61" s="54" t="s">
        <v>36</v>
      </c>
      <c r="C61" s="3">
        <v>3</v>
      </c>
      <c r="D61" s="3" t="s">
        <v>82</v>
      </c>
      <c r="E61" s="12" t="s">
        <v>351</v>
      </c>
      <c r="F61" s="5">
        <v>46111</v>
      </c>
      <c r="G61" s="3" t="s">
        <v>110</v>
      </c>
      <c r="H61" s="3" t="s">
        <v>291</v>
      </c>
      <c r="I61" s="3" t="s">
        <v>352</v>
      </c>
      <c r="J61" s="18" t="s">
        <v>353</v>
      </c>
    </row>
    <row r="62" spans="1:10" s="66" customFormat="1" ht="43.5" customHeight="1">
      <c r="A62" s="59" t="s">
        <v>354</v>
      </c>
      <c r="B62" s="61" t="s">
        <v>48</v>
      </c>
      <c r="C62" s="62">
        <v>3</v>
      </c>
      <c r="D62" s="62" t="s">
        <v>70</v>
      </c>
      <c r="E62" s="63" t="s">
        <v>355</v>
      </c>
      <c r="F62" s="64">
        <v>46008</v>
      </c>
      <c r="G62" s="62" t="s">
        <v>110</v>
      </c>
      <c r="H62" s="62" t="s">
        <v>291</v>
      </c>
      <c r="I62" s="62" t="s">
        <v>356</v>
      </c>
      <c r="J62" s="65" t="s">
        <v>357</v>
      </c>
    </row>
    <row r="63" spans="1:10" s="66" customFormat="1" ht="43.5" customHeight="1">
      <c r="A63" s="59" t="s">
        <v>358</v>
      </c>
      <c r="B63" s="61" t="s">
        <v>48</v>
      </c>
      <c r="C63" s="62">
        <v>3</v>
      </c>
      <c r="D63" s="62" t="s">
        <v>70</v>
      </c>
      <c r="E63" s="63" t="s">
        <v>359</v>
      </c>
      <c r="F63" s="64">
        <v>46083</v>
      </c>
      <c r="G63" s="62" t="s">
        <v>110</v>
      </c>
      <c r="H63" s="62" t="s">
        <v>291</v>
      </c>
      <c r="I63" s="62" t="s">
        <v>360</v>
      </c>
      <c r="J63" s="65" t="s">
        <v>361</v>
      </c>
    </row>
    <row r="64" spans="1:10" s="66" customFormat="1" ht="43.5" customHeight="1">
      <c r="A64" s="59" t="s">
        <v>362</v>
      </c>
      <c r="B64" s="61" t="s">
        <v>48</v>
      </c>
      <c r="C64" s="62">
        <v>3</v>
      </c>
      <c r="D64" s="62" t="s">
        <v>70</v>
      </c>
      <c r="E64" s="63" t="s">
        <v>363</v>
      </c>
      <c r="F64" s="64">
        <v>46083</v>
      </c>
      <c r="G64" s="62" t="s">
        <v>110</v>
      </c>
      <c r="H64" s="62" t="s">
        <v>291</v>
      </c>
      <c r="I64" s="62" t="s">
        <v>364</v>
      </c>
      <c r="J64" s="65" t="s">
        <v>365</v>
      </c>
    </row>
    <row r="65" spans="1:10" s="66" customFormat="1" ht="43.5" customHeight="1">
      <c r="A65" s="59" t="s">
        <v>366</v>
      </c>
      <c r="B65" s="61" t="s">
        <v>60</v>
      </c>
      <c r="C65" s="62">
        <v>4</v>
      </c>
      <c r="D65" s="62" t="s">
        <v>96</v>
      </c>
      <c r="E65" s="63" t="s">
        <v>367</v>
      </c>
      <c r="F65" s="64">
        <v>46127</v>
      </c>
      <c r="G65" s="62" t="s">
        <v>110</v>
      </c>
      <c r="H65" s="62" t="s">
        <v>291</v>
      </c>
      <c r="I65" s="3" t="s">
        <v>368</v>
      </c>
      <c r="J65" s="65" t="s">
        <v>369</v>
      </c>
    </row>
    <row r="66" spans="1:10" s="66" customFormat="1" ht="43.5" customHeight="1">
      <c r="A66" s="59" t="s">
        <v>370</v>
      </c>
      <c r="B66" s="61" t="s">
        <v>34</v>
      </c>
      <c r="C66" s="62">
        <v>4</v>
      </c>
      <c r="D66" s="62" t="s">
        <v>86</v>
      </c>
      <c r="E66" s="63" t="s">
        <v>371</v>
      </c>
      <c r="F66" s="64">
        <v>46142</v>
      </c>
      <c r="G66" s="62" t="s">
        <v>110</v>
      </c>
      <c r="H66" s="62" t="s">
        <v>291</v>
      </c>
      <c r="I66" s="3" t="s">
        <v>372</v>
      </c>
      <c r="J66" s="65" t="s">
        <v>373</v>
      </c>
    </row>
    <row r="67" spans="1:10" ht="43.5" customHeight="1">
      <c r="A67" s="47" t="s">
        <v>374</v>
      </c>
      <c r="B67" s="54" t="s">
        <v>34</v>
      </c>
      <c r="C67" s="3">
        <v>4</v>
      </c>
      <c r="D67" s="3" t="s">
        <v>74</v>
      </c>
      <c r="E67" s="12" t="s">
        <v>375</v>
      </c>
      <c r="F67" s="5">
        <v>46157</v>
      </c>
      <c r="G67" s="3" t="s">
        <v>110</v>
      </c>
      <c r="H67" s="3" t="s">
        <v>291</v>
      </c>
      <c r="I67" s="3" t="s">
        <v>376</v>
      </c>
      <c r="J67" s="18" t="s">
        <v>377</v>
      </c>
    </row>
    <row r="68" spans="1:10" ht="43.5" customHeight="1">
      <c r="A68" s="47" t="s">
        <v>378</v>
      </c>
      <c r="B68" s="54" t="s">
        <v>36</v>
      </c>
      <c r="C68" s="3">
        <v>4</v>
      </c>
      <c r="D68" s="3" t="s">
        <v>70</v>
      </c>
      <c r="E68" s="12" t="s">
        <v>379</v>
      </c>
      <c r="F68" s="5">
        <v>46157</v>
      </c>
      <c r="G68" s="3" t="s">
        <v>110</v>
      </c>
      <c r="H68" s="3" t="s">
        <v>291</v>
      </c>
      <c r="I68" s="3" t="s">
        <v>380</v>
      </c>
      <c r="J68" s="18" t="s">
        <v>381</v>
      </c>
    </row>
    <row r="69" spans="1:10" ht="43.5" customHeight="1">
      <c r="A69" s="47" t="s">
        <v>382</v>
      </c>
      <c r="B69" s="54" t="s">
        <v>28</v>
      </c>
      <c r="C69" s="3">
        <v>4</v>
      </c>
      <c r="D69" s="3" t="s">
        <v>94</v>
      </c>
      <c r="E69" s="12" t="s">
        <v>383</v>
      </c>
      <c r="F69" s="5">
        <v>46195</v>
      </c>
      <c r="G69" s="3" t="s">
        <v>110</v>
      </c>
      <c r="H69" s="3" t="s">
        <v>291</v>
      </c>
      <c r="I69" s="3" t="s">
        <v>384</v>
      </c>
      <c r="J69" s="18" t="s">
        <v>385</v>
      </c>
    </row>
    <row r="70" spans="1:10" ht="43.5" customHeight="1">
      <c r="A70" s="47" t="s">
        <v>386</v>
      </c>
      <c r="B70" s="54" t="s">
        <v>46</v>
      </c>
      <c r="C70" s="3">
        <v>4</v>
      </c>
      <c r="D70" s="3" t="s">
        <v>96</v>
      </c>
      <c r="E70" s="12" t="s">
        <v>387</v>
      </c>
      <c r="F70" s="5">
        <v>46203</v>
      </c>
      <c r="G70" s="3" t="s">
        <v>110</v>
      </c>
      <c r="H70" s="3" t="s">
        <v>291</v>
      </c>
      <c r="I70" s="3" t="s">
        <v>388</v>
      </c>
      <c r="J70" s="18" t="s">
        <v>389</v>
      </c>
    </row>
    <row r="71" spans="1:10" ht="43.5" customHeight="1">
      <c r="A71" s="47" t="s">
        <v>390</v>
      </c>
      <c r="B71" s="54" t="s">
        <v>62</v>
      </c>
      <c r="C71" s="3">
        <v>4</v>
      </c>
      <c r="D71" s="3" t="s">
        <v>90</v>
      </c>
      <c r="E71" s="12" t="s">
        <v>391</v>
      </c>
      <c r="F71" s="5">
        <v>46234</v>
      </c>
      <c r="G71" s="3" t="s">
        <v>110</v>
      </c>
      <c r="H71" s="3" t="s">
        <v>291</v>
      </c>
      <c r="I71" s="3" t="s">
        <v>392</v>
      </c>
      <c r="J71" s="18" t="s">
        <v>393</v>
      </c>
    </row>
    <row r="72" spans="1:10" ht="43.5" customHeight="1">
      <c r="A72" s="47" t="s">
        <v>394</v>
      </c>
      <c r="B72" s="54" t="s">
        <v>36</v>
      </c>
      <c r="C72" s="3">
        <v>4</v>
      </c>
      <c r="D72" s="3" t="s">
        <v>82</v>
      </c>
      <c r="E72" s="12" t="s">
        <v>395</v>
      </c>
      <c r="F72" s="5">
        <v>46234</v>
      </c>
      <c r="G72" s="3" t="s">
        <v>110</v>
      </c>
      <c r="H72" s="3" t="s">
        <v>291</v>
      </c>
      <c r="I72" s="3" t="s">
        <v>380</v>
      </c>
      <c r="J72" s="18" t="s">
        <v>396</v>
      </c>
    </row>
    <row r="73" spans="1:10" ht="43.5" customHeight="1">
      <c r="A73" s="47" t="s">
        <v>397</v>
      </c>
      <c r="B73" s="54" t="s">
        <v>36</v>
      </c>
      <c r="C73" s="3">
        <v>4</v>
      </c>
      <c r="D73" s="3" t="s">
        <v>78</v>
      </c>
      <c r="E73" s="12" t="s">
        <v>398</v>
      </c>
      <c r="F73" s="5">
        <v>46259</v>
      </c>
      <c r="G73" s="3" t="s">
        <v>110</v>
      </c>
      <c r="H73" s="3" t="s">
        <v>291</v>
      </c>
      <c r="I73" s="3" t="s">
        <v>399</v>
      </c>
      <c r="J73" s="18" t="s">
        <v>400</v>
      </c>
    </row>
    <row r="74" spans="1:10" ht="43.5" customHeight="1">
      <c r="A74" s="47" t="s">
        <v>401</v>
      </c>
      <c r="B74" s="54" t="s">
        <v>46</v>
      </c>
      <c r="C74" s="3">
        <v>4</v>
      </c>
      <c r="D74" s="3" t="s">
        <v>82</v>
      </c>
      <c r="E74" s="12" t="s">
        <v>402</v>
      </c>
      <c r="F74" s="5">
        <v>46276</v>
      </c>
      <c r="G74" s="3" t="s">
        <v>110</v>
      </c>
      <c r="H74" s="3" t="s">
        <v>291</v>
      </c>
      <c r="I74" s="3" t="s">
        <v>403</v>
      </c>
      <c r="J74" s="18" t="s">
        <v>389</v>
      </c>
    </row>
    <row r="75" spans="1:10" ht="43.5" customHeight="1">
      <c r="A75" s="47" t="s">
        <v>404</v>
      </c>
      <c r="B75" s="54" t="s">
        <v>46</v>
      </c>
      <c r="C75" s="3">
        <v>4</v>
      </c>
      <c r="D75" s="3" t="s">
        <v>92</v>
      </c>
      <c r="E75" s="12" t="s">
        <v>405</v>
      </c>
      <c r="F75" s="5">
        <v>46276</v>
      </c>
      <c r="G75" s="3" t="s">
        <v>110</v>
      </c>
      <c r="H75" s="3" t="s">
        <v>291</v>
      </c>
      <c r="I75" s="3" t="s">
        <v>384</v>
      </c>
      <c r="J75" s="18" t="s">
        <v>406</v>
      </c>
    </row>
    <row r="76" spans="1:10" ht="43.5" customHeight="1">
      <c r="A76" s="47" t="s">
        <v>407</v>
      </c>
      <c r="B76" s="54" t="s">
        <v>34</v>
      </c>
      <c r="C76" s="3">
        <v>4</v>
      </c>
      <c r="D76" s="3" t="s">
        <v>86</v>
      </c>
      <c r="E76" s="12" t="s">
        <v>408</v>
      </c>
      <c r="F76" s="5">
        <v>46276</v>
      </c>
      <c r="G76" s="3" t="s">
        <v>110</v>
      </c>
      <c r="H76" s="3" t="s">
        <v>291</v>
      </c>
      <c r="I76" s="3" t="s">
        <v>409</v>
      </c>
      <c r="J76" s="18" t="s">
        <v>410</v>
      </c>
    </row>
    <row r="77" spans="1:10" ht="43.5" customHeight="1">
      <c r="A77" s="47" t="s">
        <v>411</v>
      </c>
      <c r="B77" s="54" t="s">
        <v>32</v>
      </c>
      <c r="C77" s="3">
        <v>4</v>
      </c>
      <c r="D77" s="3" t="s">
        <v>78</v>
      </c>
      <c r="E77" s="12" t="s">
        <v>412</v>
      </c>
      <c r="F77" s="5">
        <v>46282</v>
      </c>
      <c r="G77" s="3" t="s">
        <v>110</v>
      </c>
      <c r="H77" s="3" t="s">
        <v>291</v>
      </c>
      <c r="I77" s="3" t="s">
        <v>413</v>
      </c>
      <c r="J77" s="18" t="s">
        <v>414</v>
      </c>
    </row>
    <row r="78" spans="1:10" ht="43.5" customHeight="1">
      <c r="A78" s="47" t="s">
        <v>415</v>
      </c>
      <c r="B78" s="54" t="s">
        <v>36</v>
      </c>
      <c r="C78" s="3">
        <v>4</v>
      </c>
      <c r="D78" s="3" t="s">
        <v>82</v>
      </c>
      <c r="E78" s="12" t="s">
        <v>416</v>
      </c>
      <c r="F78" s="5">
        <v>46276</v>
      </c>
      <c r="G78" s="3" t="s">
        <v>110</v>
      </c>
      <c r="H78" s="3" t="s">
        <v>291</v>
      </c>
      <c r="I78" s="3" t="s">
        <v>376</v>
      </c>
      <c r="J78" s="18" t="s">
        <v>417</v>
      </c>
    </row>
    <row r="79" spans="1:10" ht="43.5" customHeight="1">
      <c r="A79" s="47" t="s">
        <v>418</v>
      </c>
      <c r="B79" s="54" t="s">
        <v>62</v>
      </c>
      <c r="C79" s="3">
        <v>4</v>
      </c>
      <c r="D79" s="3" t="s">
        <v>70</v>
      </c>
      <c r="E79" s="12" t="s">
        <v>419</v>
      </c>
      <c r="F79" s="5">
        <v>46276</v>
      </c>
      <c r="G79" s="3" t="s">
        <v>110</v>
      </c>
      <c r="H79" s="3" t="s">
        <v>291</v>
      </c>
      <c r="I79" s="3" t="s">
        <v>399</v>
      </c>
      <c r="J79" s="174" t="s">
        <v>420</v>
      </c>
    </row>
    <row r="80" spans="1:10" ht="43.5" customHeight="1">
      <c r="A80" s="47" t="s">
        <v>421</v>
      </c>
      <c r="B80" s="54" t="s">
        <v>64</v>
      </c>
      <c r="C80" s="3">
        <v>4</v>
      </c>
      <c r="D80" s="3" t="s">
        <v>86</v>
      </c>
      <c r="E80" s="12" t="s">
        <v>422</v>
      </c>
      <c r="F80" s="5">
        <v>46269</v>
      </c>
      <c r="G80" s="3" t="s">
        <v>110</v>
      </c>
      <c r="H80" s="3" t="s">
        <v>291</v>
      </c>
      <c r="I80" s="3" t="s">
        <v>423</v>
      </c>
      <c r="J80" s="18" t="s">
        <v>424</v>
      </c>
    </row>
    <row r="81" spans="1:10" ht="43.5" customHeight="1">
      <c r="A81" s="47" t="s">
        <v>425</v>
      </c>
      <c r="B81" s="54" t="s">
        <v>64</v>
      </c>
      <c r="C81" s="3">
        <v>4</v>
      </c>
      <c r="D81" s="3" t="s">
        <v>72</v>
      </c>
      <c r="E81" s="12" t="s">
        <v>426</v>
      </c>
      <c r="F81" s="5">
        <v>46274</v>
      </c>
      <c r="G81" s="3" t="s">
        <v>110</v>
      </c>
      <c r="H81" s="3" t="s">
        <v>291</v>
      </c>
      <c r="I81" s="3" t="s">
        <v>427</v>
      </c>
      <c r="J81" s="174" t="s">
        <v>428</v>
      </c>
    </row>
    <row r="82" spans="1:10" ht="56.25" customHeight="1">
      <c r="A82" s="47" t="s">
        <v>429</v>
      </c>
      <c r="B82" s="54" t="s">
        <v>64</v>
      </c>
      <c r="C82" s="3">
        <v>4</v>
      </c>
      <c r="D82" s="3" t="s">
        <v>86</v>
      </c>
      <c r="E82" s="12" t="s">
        <v>430</v>
      </c>
      <c r="F82" s="5">
        <v>46274</v>
      </c>
      <c r="G82" s="3" t="s">
        <v>110</v>
      </c>
      <c r="H82" s="3" t="s">
        <v>291</v>
      </c>
      <c r="I82" s="3" t="s">
        <v>431</v>
      </c>
      <c r="J82" s="18" t="s">
        <v>432</v>
      </c>
    </row>
    <row r="83" spans="1:10" ht="51" customHeight="1">
      <c r="A83" s="47" t="s">
        <v>433</v>
      </c>
      <c r="B83" s="54" t="s">
        <v>66</v>
      </c>
      <c r="C83" s="3">
        <v>4</v>
      </c>
      <c r="D83" s="3" t="s">
        <v>86</v>
      </c>
      <c r="E83" s="12" t="s">
        <v>434</v>
      </c>
      <c r="F83" s="5">
        <v>46301</v>
      </c>
      <c r="G83" s="3" t="s">
        <v>110</v>
      </c>
      <c r="H83" s="3" t="s">
        <v>291</v>
      </c>
      <c r="I83" s="3" t="s">
        <v>435</v>
      </c>
      <c r="J83" s="18" t="s">
        <v>436</v>
      </c>
    </row>
    <row r="84" spans="1:10" ht="51" customHeight="1">
      <c r="A84" s="47" t="s">
        <v>437</v>
      </c>
      <c r="B84" s="54" t="s">
        <v>36</v>
      </c>
      <c r="C84" s="3">
        <v>4</v>
      </c>
      <c r="D84" s="3" t="s">
        <v>92</v>
      </c>
      <c r="E84" s="12" t="s">
        <v>438</v>
      </c>
      <c r="F84" s="5">
        <v>46302</v>
      </c>
      <c r="G84" s="3" t="s">
        <v>110</v>
      </c>
      <c r="H84" s="3" t="s">
        <v>291</v>
      </c>
      <c r="I84" s="3" t="s">
        <v>439</v>
      </c>
      <c r="J84" s="18" t="s">
        <v>440</v>
      </c>
    </row>
    <row r="85" spans="1:10" ht="43.5" customHeight="1">
      <c r="A85" s="47" t="s">
        <v>441</v>
      </c>
      <c r="B85" s="54" t="s">
        <v>46</v>
      </c>
      <c r="C85" s="3">
        <v>4</v>
      </c>
      <c r="D85" s="3" t="s">
        <v>82</v>
      </c>
      <c r="E85" s="12" t="s">
        <v>442</v>
      </c>
      <c r="F85" s="5">
        <v>46303</v>
      </c>
      <c r="G85" s="3" t="s">
        <v>110</v>
      </c>
      <c r="H85" s="3" t="s">
        <v>291</v>
      </c>
      <c r="I85" s="3" t="s">
        <v>384</v>
      </c>
      <c r="J85" s="18" t="s">
        <v>443</v>
      </c>
    </row>
    <row r="86" spans="1:10" ht="43.5" customHeight="1">
      <c r="A86" s="47" t="s">
        <v>444</v>
      </c>
      <c r="B86" s="54" t="s">
        <v>46</v>
      </c>
      <c r="C86" s="3">
        <v>4</v>
      </c>
      <c r="D86" s="3" t="s">
        <v>100</v>
      </c>
      <c r="E86" s="12" t="s">
        <v>445</v>
      </c>
      <c r="F86" s="5">
        <v>46321</v>
      </c>
      <c r="G86" s="3" t="s">
        <v>110</v>
      </c>
      <c r="H86" s="3" t="s">
        <v>291</v>
      </c>
      <c r="I86" s="3" t="s">
        <v>446</v>
      </c>
      <c r="J86" s="18" t="s">
        <v>447</v>
      </c>
    </row>
  </sheetData>
  <autoFilter ref="B1:J85" xr:uid="{B4064D3A-F121-4806-8F81-33573A0262C4}"/>
  <hyperlinks>
    <hyperlink ref="J3" r:id="rId1" xr:uid="{056F7F28-1F23-488B-BE3E-D7001A77B07D}"/>
    <hyperlink ref="J4" r:id="rId2" xr:uid="{14BF38FC-4785-45BD-91C4-DD052598CBD9}"/>
    <hyperlink ref="J5" r:id="rId3" xr:uid="{53D7E592-AEF3-454F-9C49-86FA57F09A66}"/>
    <hyperlink ref="J6" r:id="rId4" xr:uid="{D1F58B90-8F5D-47F1-9AF1-70CE19EFD002}"/>
    <hyperlink ref="J7" r:id="rId5" xr:uid="{BCA828E3-EBB3-44BF-9396-0F8203177258}"/>
    <hyperlink ref="J8" r:id="rId6" xr:uid="{3B8A29A3-246C-4BAF-9F4D-1BCFE2255C28}"/>
    <hyperlink ref="J9" r:id="rId7" xr:uid="{98AC51DA-FE3D-478F-9638-4CFA67B6257A}"/>
    <hyperlink ref="J10" r:id="rId8" xr:uid="{356D6CD9-6F09-457F-8BAD-85B552FD156F}"/>
    <hyperlink ref="J11" r:id="rId9" xr:uid="{6628E360-0521-4896-83BC-2D19D4A4C2D2}"/>
    <hyperlink ref="J12" r:id="rId10" xr:uid="{11EF11B8-9694-4B93-ABB3-1CEB54CF3132}"/>
    <hyperlink ref="J13" r:id="rId11" xr:uid="{48118747-58AD-4A77-943C-9E2240800378}"/>
    <hyperlink ref="J14" r:id="rId12" xr:uid="{2C0366F5-A979-4C60-8C6B-A280A1AA9B3B}"/>
    <hyperlink ref="J15" r:id="rId13" xr:uid="{8B46F311-0F6A-4FEC-BA10-2DA7B3271776}"/>
    <hyperlink ref="J16" r:id="rId14" xr:uid="{7BCAE6BF-4D65-47B2-B2C3-7963830E44EF}"/>
    <hyperlink ref="J17" r:id="rId15" xr:uid="{1C459082-B4E7-45A0-93B8-FCA95B4FA9D2}"/>
    <hyperlink ref="J18" r:id="rId16" xr:uid="{06410355-0C75-4F73-B0BB-7A6B7BFEF843}"/>
    <hyperlink ref="J19" r:id="rId17" xr:uid="{3EE1BB96-E912-4E8D-8D0C-A2572C958E4F}"/>
    <hyperlink ref="J20" r:id="rId18" xr:uid="{2748DCDA-8B29-4531-9A34-F8418245176A}"/>
    <hyperlink ref="J21" r:id="rId19" xr:uid="{FEFA8FF7-0C8E-4DDE-A71F-1436331412D9}"/>
    <hyperlink ref="J22" r:id="rId20" xr:uid="{55053DDD-19CE-4D01-A9E5-77FBF1808A51}"/>
    <hyperlink ref="J23" r:id="rId21" xr:uid="{025089F3-A878-487D-B5D8-79A43DE42E7A}"/>
    <hyperlink ref="J24" r:id="rId22" xr:uid="{E5088D31-27BD-4943-86BF-D6111C519209}"/>
    <hyperlink ref="J25" r:id="rId23" xr:uid="{0DBB1B02-56A6-48DE-B680-F68A69AF5288}"/>
    <hyperlink ref="J26" r:id="rId24" xr:uid="{E2249460-7FD1-428C-B13C-D5068B363B20}"/>
    <hyperlink ref="J27" r:id="rId25" xr:uid="{45C778E5-787F-47DE-9427-BD816FF57110}"/>
    <hyperlink ref="J28" r:id="rId26" xr:uid="{F4E5093A-0014-49E3-81CC-52F9576ADA1B}"/>
    <hyperlink ref="J29" r:id="rId27" xr:uid="{B13024D5-F2EE-41D7-A964-027123F1A52C}"/>
    <hyperlink ref="J30" r:id="rId28" xr:uid="{045D5FB4-7708-4EDD-A6E8-C59A55AB7EB5}"/>
    <hyperlink ref="J31" r:id="rId29" xr:uid="{80604E87-CF8A-4345-B6CC-8476575E022F}"/>
    <hyperlink ref="J32" r:id="rId30" xr:uid="{55044FA8-EE14-42E0-A638-D80D3F02B3F5}"/>
    <hyperlink ref="J33" r:id="rId31" xr:uid="{2D9BC401-C794-44DC-BD86-56088FB2C6C2}"/>
    <hyperlink ref="J34" r:id="rId32" xr:uid="{627F427B-7A51-4E7C-AF8E-285026E3A30F}"/>
    <hyperlink ref="J35" r:id="rId33" xr:uid="{C321CEAC-81DE-4F6D-B757-FB23A76B7E84}"/>
    <hyperlink ref="J36" r:id="rId34" xr:uid="{D6366E93-6AE1-4AD8-8747-0FC38FA27C17}"/>
    <hyperlink ref="J37" r:id="rId35" xr:uid="{476928A7-C98E-4752-B013-69951D30619A}"/>
    <hyperlink ref="J38" r:id="rId36" xr:uid="{3708F69E-A191-473E-8DB7-38CCB6792878}"/>
    <hyperlink ref="J39" r:id="rId37" xr:uid="{FFCD405A-CD01-4D47-AB5E-AD72221F5B2B}"/>
    <hyperlink ref="J40" r:id="rId38" xr:uid="{052827A9-3E7E-4FCA-BC88-0FD073F3DC6D}"/>
    <hyperlink ref="J41" r:id="rId39" xr:uid="{6D9D517F-02B7-4F04-9CE9-41DCCCB5728B}"/>
    <hyperlink ref="J42" r:id="rId40" xr:uid="{9AB0EFD3-63A2-4196-9604-0E93682DB389}"/>
    <hyperlink ref="J43" r:id="rId41" xr:uid="{E77AFBE5-315D-4AA2-84C0-169D92241F0F}"/>
    <hyperlink ref="J44" r:id="rId42" xr:uid="{D5EA46F4-A58F-404F-9052-40DF645B0AE3}"/>
    <hyperlink ref="J45" r:id="rId43" xr:uid="{D4BE55A7-CB13-4A8F-936B-36DF8EF1185F}"/>
    <hyperlink ref="J46" r:id="rId44" xr:uid="{440A40BE-921E-4D31-A655-09C5F2C2432E}"/>
    <hyperlink ref="J47" r:id="rId45" xr:uid="{67C889AC-29CC-4016-9749-E70C81863574}"/>
    <hyperlink ref="J48" r:id="rId46" xr:uid="{32BA75F4-175B-4619-84A8-DF6C6A40D696}"/>
    <hyperlink ref="J49" r:id="rId47" xr:uid="{1477AE5B-E4D4-42BC-97D9-B8C26F384506}"/>
    <hyperlink ref="J50" r:id="rId48" xr:uid="{E024FDDC-0B06-4767-8CFB-CF970963A2A6}"/>
    <hyperlink ref="J51" r:id="rId49" xr:uid="{6AFA679A-C38B-4474-B293-80A91D747AAD}"/>
    <hyperlink ref="J52" r:id="rId50" xr:uid="{4A3DA75D-4875-48BC-95F4-50870C223F09}"/>
    <hyperlink ref="J53" r:id="rId51" xr:uid="{EE208153-B918-4267-B091-C03173066073}"/>
    <hyperlink ref="J54" r:id="rId52" xr:uid="{4D82C8CF-FAA2-4190-B8FA-41B94F970AF2}"/>
    <hyperlink ref="J55" r:id="rId53" xr:uid="{A57F8129-1834-4C53-AFE3-F3B36F78C257}"/>
    <hyperlink ref="J56" r:id="rId54" xr:uid="{C4146241-BB5E-4763-AB21-108F0A18D9A5}"/>
    <hyperlink ref="J57" r:id="rId55" xr:uid="{202C5949-7B0F-471D-B474-51B5050102DC}"/>
    <hyperlink ref="J59" r:id="rId56" xr:uid="{76D20C0E-C8D3-4E2C-8006-4B6555B712F5}"/>
    <hyperlink ref="J60" r:id="rId57" xr:uid="{1AB7D4CC-AF28-4399-9631-99CDFA0BA49C}"/>
    <hyperlink ref="J61" r:id="rId58" xr:uid="{FD34B5FC-468A-4FD3-A4D3-16E0108CC307}"/>
    <hyperlink ref="J62" r:id="rId59" xr:uid="{8D8F5B84-5759-475D-939E-37A81FB2962B}"/>
    <hyperlink ref="J63" r:id="rId60" xr:uid="{B24BD1F9-37B5-4774-93A0-AD433161C3B1}"/>
    <hyperlink ref="J64" r:id="rId61" xr:uid="{0DD236A5-45FB-4697-B18F-ACAA238E9CC6}"/>
    <hyperlink ref="J58" r:id="rId62" xr:uid="{58B159F4-C8B8-4FD3-BB61-CEEFDA40FB2B}"/>
    <hyperlink ref="J2" r:id="rId63" xr:uid="{F5D11141-DFAA-4A14-B6B9-EDAED210C950}"/>
    <hyperlink ref="J67" r:id="rId64" xr:uid="{87B9808F-2DD5-4909-9CB1-0AB046AFDFC9}"/>
    <hyperlink ref="J69" r:id="rId65" display="https://unbbr.sharepoint.com/:b:/r/sites/ITRAC-DITSSCMGI/Material%20de%20Aula/Relat%C3%B3rios%20de%20Execu%C3%A7%C3%A3o%20F%C3%ADsica%20e%20de%20RCO%20-%20DTI/Anexos/META%201-%20OFICINAS%20COLABORATIVAS/PRODUTO1_4/Cocriando%20Roadmap%20para%202026_2.pdf?csf=1&amp;web=1&amp;e=gLHUMT" xr:uid="{468EC5CF-D73C-4EE7-9225-4B18E2E099E5}"/>
    <hyperlink ref="J66" r:id="rId66" xr:uid="{00F36EB1-CB4A-4B85-9DA6-84729DB84160}"/>
    <hyperlink ref="J65" r:id="rId67" display="https://unbbr.sharepoint.com/:b:/r/sites/ITRAC-DITSSCMGI/Material%20de%20Aula/Relat%C3%B3rios%20de%20Execu%C3%A7%C3%A3o%20F%C3%ADsica%20e%20de%20RCO%20-%20DTI/Novos%20Anexos/GOV26%20-%20Colaboralab%20-%20Flavio%20Feitosa%20e%20Vivi%20-%2015%2004%20v3%20-%20final.pdf?csf=1&amp;web=1&amp;e=bsIT6I" xr:uid="{3F3FBB2A-EE21-4EB6-99B0-2367413E2F54}"/>
    <hyperlink ref="J68" r:id="rId68" xr:uid="{BBF01D46-A3C8-48ED-A2E4-B0D2FCD00DA6}"/>
    <hyperlink ref="J70" r:id="rId69" xr:uid="{9D21362F-6611-4D12-92AC-704E5B1395D1}"/>
    <hyperlink ref="J71" r:id="rId70" display="https://unbbr.sharepoint.com/:b:/r/sites/ITRAC-DITSSCMGI/Material%20de%20Aula/Relat%C3%B3rios%20de%20Execu%C3%A7%C3%A3o%20F%C3%ADsica%20e%20de%20RCO%20-%20DTI/Anexos/META%201-%20OFICINAS%20COLABORATIVAS/PRODUTO1_4/Relat%C3%B3rio%20-%20UX%20Compartilha%20Servi%C3%A7os.pdf?d=w6a26c8b6ac874beb9184e1465ef474bf&amp;csf=1&amp;web=1&amp;e=85gZbU" xr:uid="{A48AB763-B132-4BCF-A318-E2EA8FC32411}"/>
    <hyperlink ref="J72" r:id="rId71" xr:uid="{A4618526-F2EA-4B11-BFC9-5C729C872BDE}"/>
    <hyperlink ref="J73" r:id="rId72" display="https://unbbr.sharepoint.com/:b:/r/sites/ITRAC-DITSSCMGI/Material%20de%20Aula/Relat%C3%B3rios%20de%20Execu%C3%A7%C3%A3o%20F%C3%ADsica%20e%20de%20RCO%20-%20DTI/Anexos-REF/META%201-%20OFICINAS%20COLABORATIVAS/PRODUTO1_4/Relatorio_Uso%20e%20Desenvolvimento%20de%20Agentes%20de%20IA.pdf?d=w683d55a832ff4a1f9bea95f9726d215e&amp;csf=1&amp;web=1&amp;e=6NIddU" xr:uid="{2BC0EDF5-B91B-403A-95E5-9E9695C7E104}"/>
    <hyperlink ref="J74" r:id="rId73" xr:uid="{3BA65A8F-CA66-45DD-81B3-3B57F0B8B09F}"/>
    <hyperlink ref="J82" r:id="rId74" display="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8hSFEJ" xr:uid="{22DDE60A-4E30-49E4-B553-8B8010B67581}"/>
    <hyperlink ref="J76" r:id="rId75" display="https://unbbr.sharepoint.com/:b:/r/sites/ITRAC-DITSSCMGI/Material%20de%20Aula/Relat%C3%B3rios%20de%20Execu%C3%A7%C3%A3o%20F%C3%ADsica%20e%20de%20RCO%20-%20DTI/Novos%20Anexos/Relat%C3%B3rio%20-%20Contratos%20ciclo%202%20-%20set%202026.pdf?d=wce106b66243d4b03af236756a582b2e0&amp;csf=1&amp;web=1&amp;e=KVsa13" xr:uid="{EBBB1EA5-C199-4B2A-B9B7-D0CC7E693A7B}"/>
    <hyperlink ref="J77" r:id="rId76" display="https://unbbr.sharepoint.com/:b:/r/sites/ITRAC-DITSSCMGI/Material%20de%20Aula/Relat%C3%B3rios%20de%20Execu%C3%A7%C3%A3o%20F%C3%ADsica%20e%20de%20RCO%20-%20DTI/Novos%20Anexos/Relat%C3%B3rio_Tecnico_Splitgov.pdf?d=w42587044469242af975dd9a9574c4c1f&amp;csf=1&amp;web=1&amp;e=YZOd4R" xr:uid="{1193E6BD-F6FD-409A-8FAA-4178ABD08AF7}"/>
    <hyperlink ref="J75" r:id="rId77" display="https://unbbr.sharepoint.com/:f:/r/sites/ITRAC-DITSSCMGI/Material%20de%20Aula/Relat%C3%B3rios%20de%20Execu%C3%A7%C3%A3o%20F%C3%ADsica%20e%20de%20RCO%20-%20DTI/Novos%20Anexos/Treinamento%20FIGMA%20e%20MIRO?d=w35953be881c045a9922d4e6f416d9603&amp;csf=1&amp;web=1&amp;e=FnbVsp" xr:uid="{45821F68-B1E4-460C-9A39-88BF83711515}"/>
    <hyperlink ref="J80" r:id="rId78" display="https://unbbr.sharepoint.com/:b:/r/sites/ITRAC-DITSSCMGI/Material%20de%20Aula/Relat%C3%B3rios%20de%20Execu%C3%A7%C3%A3o%20F%C3%ADsica%20e%20de%20RCO%20-%20DTI/Novos%20Anexos/Relat%C3%B3rio%20-%20Oficina%20CGFIN-POWER%20APP%20.pdf?d=w34e6b3c545e24d3e9659c3c387ae5418&amp;csf=1&amp;web=1&amp;e=rG1omq" xr:uid="{6A3F3DCD-783A-4AB5-A398-49DD49986CE1}"/>
    <hyperlink ref="J81" r:id="rId79" xr:uid="{D1208378-8F19-46E4-95BA-30B6D701D2F6}"/>
    <hyperlink ref="J83" r:id="rId80" display="https://unbbr.sharepoint.com/:b:/r/sites/ITRAC-DITSSCMGI/Material%20de%20Aula/Relat%C3%B3rios%20de%20Execu%C3%A7%C3%A3o%20F%C3%ADsica%20e%20de%20RCO%20-%20DTI/Novos%20Anexos/Relat%C3%B3rio%20-%20Oficina%20MEMP_DREI_Prot%C3%B3tipo_VF.pdf?d=w35b261f3eb4249bba84d2749485fcba0&amp;csf=1&amp;web=1&amp;e=TLwDcw" xr:uid="{DF6A6B1F-62AB-4DA5-B512-18E3F35C5EE9}"/>
    <hyperlink ref="J79" r:id="rId81" xr:uid="{4F52EC33-882F-40A7-9465-93BC2A7A3F32}"/>
    <hyperlink ref="J78" r:id="rId82" display="https://unbbr.sharepoint.com/:b:/r/sites/ITRAC-DITSSCMGI/Material%20de%20Aula/Relat%C3%B3rios%20de%20Execu%C3%A7%C3%A3o%20F%C3%ADsica%20e%20de%20RCO%20-%20DTI/Novos%20Anexos/Guia_Uso%20de%20Agentes%20de%20IA-V4.pdf?d=w61f31c8ce153499eac2473acc5a95dd5&amp;csf=1&amp;web=1&amp;e=bu580V" xr:uid="{0AF1B0AE-EFEF-4D27-BA30-19F3E96C5913}"/>
    <hyperlink ref="J85" r:id="rId83" display="https://unbbr.sharepoint.com/:b:/r/sites/ITRAC-DITSSCMGI/Material%20de%20Aula/Relat%C3%B3rios%20de%20Execu%C3%A7%C3%A3o%20F%C3%ADsica%20e%20de%20RCO%20-%20DTI/Novos%20Anexos/Guia%20ColaboraLab_VF3.pdf?d=w5a8544c3fd964d6b97a29305f1820223&amp;csf=1&amp;web=1&amp;e=gIFMEI" xr:uid="{853DE225-E0D6-46DA-8387-1789A447F27F}"/>
    <hyperlink ref="J84" r:id="rId84" display="https://unbbr.sharepoint.com/:b:/r/sites/ITRAC-DITSSCMGI/Material%20de%20Aula/Relat%C3%B3rios%20de%20Execu%C3%A7%C3%A3o%20F%C3%ADsica%20e%20de%20RCO%20-%20DTI/Novos%20Anexos/ITRAC___Relat%C3%B3rio_T%C3%A9cnico_Agentes.pdf?d=w6a533272f35f49279c73c00652049483&amp;csf=1&amp;web=1&amp;e=fBYWuq" xr:uid="{586144F6-3C1B-4C43-811E-7046363F3D46}"/>
    <hyperlink ref="J86" r:id="rId85" xr:uid="{C273220A-7C44-4536-83CC-C4193C78CA6E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B7E2-25DD-4242-B54D-88B466922764}">
  <dimension ref="A1:L32"/>
  <sheetViews>
    <sheetView topLeftCell="A12" workbookViewId="0"/>
  </sheetViews>
  <sheetFormatPr defaultRowHeight="39" customHeight="1"/>
  <cols>
    <col min="1" max="2" width="9.140625" style="31"/>
    <col min="3" max="3" width="62.85546875" style="34" customWidth="1"/>
    <col min="4" max="4" width="11.5703125" style="34" bestFit="1" customWidth="1"/>
    <col min="5" max="5" width="47.42578125" style="34" customWidth="1"/>
    <col min="6" max="6" width="12.7109375" style="34" bestFit="1" customWidth="1"/>
    <col min="7" max="7" width="12.7109375" style="31" customWidth="1"/>
    <col min="8" max="8" width="17.85546875" style="31" bestFit="1" customWidth="1"/>
    <col min="9" max="9" width="18" style="40" bestFit="1" customWidth="1"/>
    <col min="10" max="10" width="13.140625" style="31" customWidth="1"/>
    <col min="11" max="11" width="30" style="31" customWidth="1"/>
    <col min="12" max="12" width="128.7109375" style="34" customWidth="1"/>
    <col min="13" max="16384" width="9.140625" style="31"/>
  </cols>
  <sheetData>
    <row r="1" spans="1:12" ht="39" customHeight="1">
      <c r="A1" s="10" t="s">
        <v>26</v>
      </c>
      <c r="B1" s="10" t="s">
        <v>0</v>
      </c>
      <c r="C1" s="32" t="s">
        <v>448</v>
      </c>
      <c r="D1" s="32" t="s">
        <v>449</v>
      </c>
      <c r="E1" s="32" t="s">
        <v>450</v>
      </c>
      <c r="F1" s="32" t="s">
        <v>451</v>
      </c>
      <c r="G1" s="10" t="s">
        <v>452</v>
      </c>
      <c r="H1" s="10" t="s">
        <v>453</v>
      </c>
      <c r="I1" s="39" t="s">
        <v>454</v>
      </c>
      <c r="J1" s="10" t="s">
        <v>3</v>
      </c>
      <c r="K1" s="10" t="s">
        <v>455</v>
      </c>
      <c r="L1" s="32" t="s">
        <v>107</v>
      </c>
    </row>
    <row r="2" spans="1:12" ht="39" customHeight="1">
      <c r="A2" s="3" t="s">
        <v>54</v>
      </c>
      <c r="B2" s="3">
        <v>2</v>
      </c>
      <c r="C2" s="33" t="s">
        <v>456</v>
      </c>
      <c r="D2" s="33" t="s">
        <v>457</v>
      </c>
      <c r="E2" s="33" t="s">
        <v>458</v>
      </c>
      <c r="F2" s="33" t="s">
        <v>459</v>
      </c>
      <c r="G2" s="3" t="s">
        <v>74</v>
      </c>
      <c r="H2" s="5">
        <v>45843</v>
      </c>
      <c r="I2" s="5">
        <v>45908</v>
      </c>
      <c r="J2" s="3" t="s">
        <v>460</v>
      </c>
      <c r="K2" s="3" t="s">
        <v>461</v>
      </c>
      <c r="L2" s="36" t="s">
        <v>462</v>
      </c>
    </row>
    <row r="3" spans="1:12" ht="39" customHeight="1">
      <c r="A3" s="3" t="s">
        <v>54</v>
      </c>
      <c r="B3" s="3">
        <v>3</v>
      </c>
      <c r="C3" s="33" t="s">
        <v>463</v>
      </c>
      <c r="D3" s="33" t="s">
        <v>457</v>
      </c>
      <c r="E3" s="33" t="s">
        <v>464</v>
      </c>
      <c r="F3" s="33" t="s">
        <v>465</v>
      </c>
      <c r="G3" s="3" t="s">
        <v>72</v>
      </c>
      <c r="H3" s="3"/>
      <c r="I3" s="5"/>
      <c r="J3" s="3" t="s">
        <v>466</v>
      </c>
      <c r="K3" s="3"/>
      <c r="L3" s="36" t="s">
        <v>467</v>
      </c>
    </row>
    <row r="4" spans="1:12" ht="39" customHeight="1">
      <c r="A4" s="3" t="s">
        <v>54</v>
      </c>
      <c r="B4" s="3">
        <v>2</v>
      </c>
      <c r="C4" s="33" t="s">
        <v>468</v>
      </c>
      <c r="D4" s="33" t="s">
        <v>457</v>
      </c>
      <c r="E4" s="33" t="s">
        <v>458</v>
      </c>
      <c r="F4" s="33" t="s">
        <v>459</v>
      </c>
      <c r="G4" s="3" t="s">
        <v>74</v>
      </c>
      <c r="H4" s="5">
        <v>45777</v>
      </c>
      <c r="I4" s="5"/>
      <c r="J4" s="3" t="s">
        <v>469</v>
      </c>
      <c r="K4" s="3"/>
      <c r="L4" s="33"/>
    </row>
    <row r="5" spans="1:12" ht="39" customHeight="1">
      <c r="A5" s="3" t="s">
        <v>54</v>
      </c>
      <c r="B5" s="3">
        <v>3</v>
      </c>
      <c r="C5" s="33" t="s">
        <v>470</v>
      </c>
      <c r="D5" s="33" t="s">
        <v>471</v>
      </c>
      <c r="E5" s="33" t="s">
        <v>472</v>
      </c>
      <c r="F5" s="33" t="s">
        <v>465</v>
      </c>
      <c r="G5" s="3" t="s">
        <v>76</v>
      </c>
      <c r="H5" s="5">
        <v>45992</v>
      </c>
      <c r="I5" s="5">
        <v>46216</v>
      </c>
      <c r="J5" s="3" t="s">
        <v>460</v>
      </c>
      <c r="K5" s="3" t="s">
        <v>473</v>
      </c>
      <c r="L5" s="36" t="s">
        <v>474</v>
      </c>
    </row>
    <row r="6" spans="1:12" ht="39" customHeight="1">
      <c r="A6" s="3" t="s">
        <v>56</v>
      </c>
      <c r="B6" s="3">
        <v>2</v>
      </c>
      <c r="C6" s="35" t="s">
        <v>475</v>
      </c>
      <c r="D6" s="35" t="s">
        <v>471</v>
      </c>
      <c r="E6" s="35" t="s">
        <v>476</v>
      </c>
      <c r="F6" s="35" t="s">
        <v>465</v>
      </c>
      <c r="G6" s="41" t="s">
        <v>477</v>
      </c>
      <c r="H6" s="42">
        <v>45717</v>
      </c>
      <c r="I6" s="42">
        <v>45758</v>
      </c>
      <c r="J6" s="41" t="s">
        <v>460</v>
      </c>
      <c r="K6" s="41" t="s">
        <v>478</v>
      </c>
      <c r="L6" s="37" t="s">
        <v>479</v>
      </c>
    </row>
    <row r="7" spans="1:12" ht="39" customHeight="1">
      <c r="A7" s="3" t="s">
        <v>56</v>
      </c>
      <c r="B7" s="3">
        <v>3</v>
      </c>
      <c r="C7" s="35" t="s">
        <v>480</v>
      </c>
      <c r="D7" s="35" t="s">
        <v>471</v>
      </c>
      <c r="E7" s="35" t="s">
        <v>481</v>
      </c>
      <c r="F7" s="35" t="s">
        <v>465</v>
      </c>
      <c r="G7" s="41" t="s">
        <v>76</v>
      </c>
      <c r="H7" s="41"/>
      <c r="I7" s="42"/>
      <c r="J7" s="41" t="s">
        <v>482</v>
      </c>
      <c r="K7" s="41"/>
      <c r="L7" s="35"/>
    </row>
    <row r="8" spans="1:12" ht="39" customHeight="1">
      <c r="A8" s="3" t="s">
        <v>56</v>
      </c>
      <c r="B8" s="3">
        <v>2</v>
      </c>
      <c r="C8" s="35" t="s">
        <v>483</v>
      </c>
      <c r="D8" s="33" t="s">
        <v>457</v>
      </c>
      <c r="E8" s="35" t="s">
        <v>484</v>
      </c>
      <c r="F8" s="35" t="s">
        <v>465</v>
      </c>
      <c r="G8" s="41" t="s">
        <v>74</v>
      </c>
      <c r="H8" s="41"/>
      <c r="I8" s="42">
        <v>45748</v>
      </c>
      <c r="J8" s="41" t="s">
        <v>460</v>
      </c>
      <c r="K8" s="41" t="s">
        <v>485</v>
      </c>
      <c r="L8" s="37" t="s">
        <v>486</v>
      </c>
    </row>
    <row r="9" spans="1:12" ht="39" customHeight="1">
      <c r="A9" s="3" t="s">
        <v>56</v>
      </c>
      <c r="B9" s="3">
        <v>2</v>
      </c>
      <c r="C9" s="35" t="s">
        <v>487</v>
      </c>
      <c r="D9" s="33" t="s">
        <v>457</v>
      </c>
      <c r="E9" s="35" t="s">
        <v>488</v>
      </c>
      <c r="F9" s="35" t="s">
        <v>465</v>
      </c>
      <c r="G9" s="41" t="s">
        <v>74</v>
      </c>
      <c r="H9" s="42">
        <v>45666</v>
      </c>
      <c r="I9" s="42">
        <v>45748</v>
      </c>
      <c r="J9" s="41" t="s">
        <v>460</v>
      </c>
      <c r="K9" s="41" t="s">
        <v>489</v>
      </c>
      <c r="L9" s="38" t="s">
        <v>490</v>
      </c>
    </row>
    <row r="10" spans="1:12" ht="39" customHeight="1">
      <c r="A10" s="3" t="s">
        <v>56</v>
      </c>
      <c r="B10" s="3">
        <v>2</v>
      </c>
      <c r="C10" s="35" t="s">
        <v>491</v>
      </c>
      <c r="D10" s="33" t="s">
        <v>457</v>
      </c>
      <c r="E10" s="33" t="s">
        <v>492</v>
      </c>
      <c r="F10" s="35" t="s">
        <v>465</v>
      </c>
      <c r="G10" s="41" t="s">
        <v>72</v>
      </c>
      <c r="H10" s="41"/>
      <c r="I10" s="42">
        <v>45838</v>
      </c>
      <c r="J10" s="41" t="s">
        <v>460</v>
      </c>
      <c r="K10" s="41" t="s">
        <v>493</v>
      </c>
      <c r="L10" s="37" t="s">
        <v>494</v>
      </c>
    </row>
    <row r="11" spans="1:12" ht="39" customHeight="1">
      <c r="A11" s="3" t="s">
        <v>56</v>
      </c>
      <c r="B11" s="3">
        <v>2</v>
      </c>
      <c r="C11" s="35" t="s">
        <v>495</v>
      </c>
      <c r="D11" s="33" t="s">
        <v>457</v>
      </c>
      <c r="E11" s="33" t="s">
        <v>492</v>
      </c>
      <c r="F11" s="35" t="s">
        <v>465</v>
      </c>
      <c r="G11" s="41" t="s">
        <v>72</v>
      </c>
      <c r="H11" s="41"/>
      <c r="I11" s="42">
        <v>46168</v>
      </c>
      <c r="J11" s="41" t="s">
        <v>460</v>
      </c>
      <c r="K11" s="41" t="s">
        <v>496</v>
      </c>
      <c r="L11" s="37" t="s">
        <v>497</v>
      </c>
    </row>
    <row r="12" spans="1:12" ht="39" customHeight="1">
      <c r="A12" s="3" t="s">
        <v>56</v>
      </c>
      <c r="B12" s="3">
        <v>2</v>
      </c>
      <c r="C12" s="35" t="s">
        <v>498</v>
      </c>
      <c r="D12" s="33" t="s">
        <v>457</v>
      </c>
      <c r="E12" s="35" t="s">
        <v>499</v>
      </c>
      <c r="F12" s="35" t="s">
        <v>459</v>
      </c>
      <c r="G12" s="41" t="s">
        <v>72</v>
      </c>
      <c r="H12" s="42">
        <v>45747</v>
      </c>
      <c r="I12" s="42">
        <v>45839</v>
      </c>
      <c r="J12" s="41" t="s">
        <v>460</v>
      </c>
      <c r="K12" s="41" t="s">
        <v>500</v>
      </c>
      <c r="L12" s="37" t="s">
        <v>501</v>
      </c>
    </row>
    <row r="13" spans="1:12" ht="39" customHeight="1">
      <c r="A13" s="3"/>
      <c r="B13" s="3"/>
      <c r="C13" s="33"/>
      <c r="D13" s="33"/>
      <c r="E13" s="33"/>
      <c r="F13" s="33"/>
      <c r="G13" s="3"/>
      <c r="H13" s="3"/>
      <c r="I13" s="5"/>
      <c r="J13" s="3"/>
      <c r="K13" s="3"/>
      <c r="L13" s="33"/>
    </row>
    <row r="14" spans="1:12" ht="39" customHeight="1">
      <c r="A14" s="3"/>
      <c r="B14" s="3"/>
      <c r="C14" s="33"/>
      <c r="D14" s="33"/>
      <c r="E14" s="33"/>
      <c r="F14" s="33"/>
      <c r="G14" s="3"/>
      <c r="H14" s="3"/>
      <c r="I14" s="5"/>
      <c r="J14" s="3"/>
      <c r="K14" s="3"/>
      <c r="L14" s="33"/>
    </row>
    <row r="15" spans="1:12" ht="39" customHeight="1">
      <c r="A15" s="3"/>
      <c r="B15" s="3"/>
      <c r="C15" s="33"/>
      <c r="D15" s="33"/>
      <c r="E15" s="33"/>
      <c r="F15" s="33"/>
      <c r="G15" s="3"/>
      <c r="H15" s="3"/>
      <c r="I15" s="5"/>
      <c r="J15" s="3"/>
      <c r="K15" s="3"/>
      <c r="L15" s="33"/>
    </row>
    <row r="16" spans="1:12" ht="39" customHeight="1">
      <c r="A16" s="3"/>
      <c r="B16" s="3"/>
      <c r="C16" s="33"/>
      <c r="D16" s="33"/>
      <c r="E16" s="33"/>
      <c r="F16" s="33"/>
      <c r="G16" s="3"/>
      <c r="H16" s="3"/>
      <c r="I16" s="5"/>
      <c r="J16" s="3"/>
      <c r="K16" s="3"/>
      <c r="L16" s="33"/>
    </row>
    <row r="17" spans="1:12" ht="39" customHeight="1">
      <c r="A17" s="3"/>
      <c r="B17" s="3"/>
      <c r="C17" s="33"/>
      <c r="D17" s="33"/>
      <c r="E17" s="33"/>
      <c r="F17" s="33"/>
      <c r="G17" s="3"/>
      <c r="H17" s="3"/>
      <c r="I17" s="5"/>
      <c r="J17" s="3"/>
      <c r="K17" s="3"/>
      <c r="L17" s="33"/>
    </row>
    <row r="18" spans="1:12" ht="39" customHeight="1">
      <c r="A18" s="3"/>
      <c r="B18" s="3"/>
      <c r="C18" s="33"/>
      <c r="D18" s="33"/>
      <c r="E18" s="33"/>
      <c r="F18" s="33"/>
      <c r="G18" s="3"/>
      <c r="H18" s="3"/>
      <c r="I18" s="5"/>
      <c r="J18" s="3"/>
      <c r="K18" s="3"/>
      <c r="L18" s="33"/>
    </row>
    <row r="19" spans="1:12" ht="39" customHeight="1">
      <c r="A19" s="3"/>
      <c r="B19" s="3"/>
      <c r="C19" s="33"/>
      <c r="D19" s="33"/>
      <c r="E19" s="33"/>
      <c r="F19" s="33"/>
      <c r="G19" s="3"/>
      <c r="H19" s="3"/>
      <c r="I19" s="5"/>
      <c r="J19" s="3"/>
      <c r="K19" s="3"/>
      <c r="L19" s="33"/>
    </row>
    <row r="20" spans="1:12" ht="39" customHeight="1">
      <c r="A20" s="3"/>
      <c r="B20" s="3"/>
      <c r="C20" s="33"/>
      <c r="D20" s="33"/>
      <c r="E20" s="33"/>
      <c r="F20" s="33"/>
      <c r="G20" s="3"/>
      <c r="H20" s="3"/>
      <c r="I20" s="5"/>
      <c r="J20" s="3"/>
      <c r="K20" s="3"/>
      <c r="L20" s="33"/>
    </row>
    <row r="21" spans="1:12" ht="39" customHeight="1">
      <c r="A21" s="3"/>
      <c r="B21" s="3"/>
      <c r="C21" s="33"/>
      <c r="D21" s="33"/>
      <c r="E21" s="33"/>
      <c r="F21" s="33"/>
      <c r="G21" s="3"/>
      <c r="H21" s="3"/>
      <c r="I21" s="5"/>
      <c r="J21" s="3"/>
      <c r="K21" s="3"/>
      <c r="L21" s="33"/>
    </row>
    <row r="22" spans="1:12" ht="39" customHeight="1">
      <c r="A22" s="3"/>
      <c r="B22" s="3"/>
      <c r="C22" s="33"/>
      <c r="D22" s="33"/>
      <c r="E22" s="33"/>
      <c r="F22" s="33"/>
      <c r="G22" s="3"/>
      <c r="H22" s="3"/>
      <c r="I22" s="5"/>
      <c r="J22" s="3"/>
      <c r="K22" s="3"/>
      <c r="L22" s="33"/>
    </row>
    <row r="23" spans="1:12" ht="39" customHeight="1">
      <c r="A23" s="3"/>
      <c r="B23" s="3"/>
      <c r="C23" s="33"/>
      <c r="D23" s="33"/>
      <c r="E23" s="33"/>
      <c r="F23" s="33"/>
      <c r="G23" s="3"/>
      <c r="H23" s="3"/>
      <c r="I23" s="5"/>
      <c r="J23" s="3"/>
      <c r="K23" s="3"/>
      <c r="L23" s="33"/>
    </row>
    <row r="24" spans="1:12" ht="39" customHeight="1">
      <c r="A24" s="3"/>
      <c r="B24" s="3"/>
      <c r="C24" s="33"/>
      <c r="D24" s="33"/>
      <c r="E24" s="33"/>
      <c r="F24" s="33"/>
      <c r="G24" s="3"/>
      <c r="H24" s="3"/>
      <c r="I24" s="5"/>
      <c r="J24" s="3"/>
      <c r="K24" s="3"/>
      <c r="L24" s="33"/>
    </row>
    <row r="25" spans="1:12" ht="39" customHeight="1">
      <c r="A25" s="3"/>
      <c r="B25" s="3"/>
      <c r="C25" s="33"/>
      <c r="D25" s="33"/>
      <c r="E25" s="33"/>
      <c r="F25" s="33"/>
      <c r="G25" s="3"/>
      <c r="H25" s="3"/>
      <c r="I25" s="5"/>
      <c r="J25" s="3"/>
      <c r="K25" s="3"/>
      <c r="L25" s="33"/>
    </row>
    <row r="26" spans="1:12" ht="39" customHeight="1">
      <c r="A26" s="3"/>
      <c r="B26" s="3"/>
      <c r="C26" s="33"/>
      <c r="D26" s="33"/>
      <c r="E26" s="33"/>
      <c r="F26" s="33"/>
      <c r="G26" s="3"/>
      <c r="H26" s="3"/>
      <c r="I26" s="5"/>
      <c r="J26" s="3"/>
      <c r="K26" s="3"/>
      <c r="L26" s="33"/>
    </row>
    <row r="27" spans="1:12" ht="39" customHeight="1">
      <c r="A27" s="3"/>
      <c r="B27" s="3"/>
      <c r="C27" s="33"/>
      <c r="D27" s="33"/>
      <c r="E27" s="33"/>
      <c r="F27" s="33"/>
      <c r="G27" s="3"/>
      <c r="H27" s="3"/>
      <c r="I27" s="5"/>
      <c r="J27" s="3"/>
      <c r="K27" s="3"/>
      <c r="L27" s="33"/>
    </row>
    <row r="28" spans="1:12" ht="39" customHeight="1">
      <c r="A28" s="3"/>
      <c r="B28" s="3"/>
      <c r="C28" s="33"/>
      <c r="D28" s="33"/>
      <c r="E28" s="33"/>
      <c r="F28" s="33"/>
      <c r="G28" s="3"/>
      <c r="H28" s="3"/>
      <c r="I28" s="5"/>
      <c r="J28" s="3"/>
      <c r="K28" s="3"/>
      <c r="L28" s="33"/>
    </row>
    <row r="29" spans="1:12" ht="39" customHeight="1">
      <c r="A29" s="3"/>
      <c r="B29" s="3"/>
      <c r="C29" s="33"/>
      <c r="D29" s="33"/>
      <c r="E29" s="33"/>
      <c r="F29" s="33"/>
      <c r="G29" s="3"/>
      <c r="H29" s="3"/>
      <c r="I29" s="5"/>
      <c r="J29" s="3"/>
      <c r="K29" s="3"/>
      <c r="L29" s="33"/>
    </row>
    <row r="30" spans="1:12" ht="39" customHeight="1">
      <c r="A30" s="3"/>
      <c r="B30" s="3"/>
      <c r="C30" s="33"/>
      <c r="D30" s="33"/>
      <c r="E30" s="33"/>
      <c r="F30" s="33"/>
      <c r="G30" s="3"/>
      <c r="H30" s="3"/>
      <c r="I30" s="5"/>
      <c r="J30" s="3"/>
      <c r="K30" s="3"/>
      <c r="L30" s="33"/>
    </row>
    <row r="31" spans="1:12" ht="39" customHeight="1">
      <c r="A31" s="3"/>
      <c r="B31" s="3"/>
      <c r="C31" s="33"/>
      <c r="D31" s="33"/>
      <c r="E31" s="33"/>
      <c r="F31" s="33"/>
      <c r="G31" s="3"/>
      <c r="H31" s="3"/>
      <c r="I31" s="5"/>
      <c r="J31" s="3"/>
      <c r="K31" s="3"/>
      <c r="L31" s="33"/>
    </row>
    <row r="32" spans="1:12" ht="39" customHeight="1">
      <c r="A32" s="3"/>
      <c r="B32" s="3"/>
      <c r="C32" s="33"/>
      <c r="D32" s="33"/>
      <c r="E32" s="33"/>
      <c r="F32" s="33"/>
      <c r="G32" s="3"/>
      <c r="H32" s="3"/>
      <c r="I32" s="5"/>
      <c r="J32" s="3"/>
      <c r="K32" s="3"/>
      <c r="L32" s="33"/>
    </row>
  </sheetData>
  <hyperlinks>
    <hyperlink ref="L2" r:id="rId1" xr:uid="{D43FEE97-55C2-4BCC-BA8A-F24B2EB877F7}"/>
    <hyperlink ref="L3" r:id="rId2" xr:uid="{4295C9FE-7C90-4B2B-91EB-D64E571BA943}"/>
    <hyperlink ref="L6" r:id="rId3" xr:uid="{E4125352-C23D-4A00-874A-2F2AA2C3A157}"/>
    <hyperlink ref="L8" r:id="rId4" xr:uid="{9E1A516C-F331-48E3-850F-5E9345357100}"/>
    <hyperlink ref="L10" r:id="rId5" xr:uid="{15CA7C83-E878-42A9-A95B-F7B0B3EC4121}"/>
    <hyperlink ref="L11" r:id="rId6" xr:uid="{D37FA409-F848-49DE-9EA1-0537E718E4F6}"/>
    <hyperlink ref="L12" r:id="rId7" xr:uid="{28169275-0AC8-43D2-A2A4-74AB9D9A0E46}"/>
    <hyperlink ref="L9" r:id="rId8" xr:uid="{1377F9F8-76E6-4883-B508-1658274E9D7B}"/>
    <hyperlink ref="L5" r:id="rId9" xr:uid="{924283AC-78EE-4CDE-A17C-8AEEDC18165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B360-3D96-4CBA-86D7-950B9828E50E}">
  <dimension ref="A1:J66"/>
  <sheetViews>
    <sheetView workbookViewId="0">
      <selection activeCell="E15" sqref="E15"/>
    </sheetView>
  </sheetViews>
  <sheetFormatPr defaultRowHeight="15"/>
  <cols>
    <col min="2" max="2" width="9.140625" style="2"/>
    <col min="3" max="3" width="14" bestFit="1" customWidth="1"/>
    <col min="4" max="4" width="28.7109375" bestFit="1" customWidth="1"/>
    <col min="5" max="5" width="31.140625" bestFit="1" customWidth="1"/>
    <col min="6" max="7" width="11.42578125" bestFit="1" customWidth="1"/>
    <col min="8" max="8" width="11.42578125" style="2" customWidth="1"/>
    <col min="9" max="9" width="13.7109375" bestFit="1" customWidth="1"/>
    <col min="10" max="10" width="113.7109375" bestFit="1" customWidth="1"/>
  </cols>
  <sheetData>
    <row r="1" spans="1:10">
      <c r="A1" s="4" t="s">
        <v>26</v>
      </c>
      <c r="B1" s="4" t="s">
        <v>0</v>
      </c>
      <c r="C1" s="4" t="s">
        <v>502</v>
      </c>
      <c r="D1" s="4" t="s">
        <v>503</v>
      </c>
      <c r="E1" s="4" t="s">
        <v>504</v>
      </c>
      <c r="F1" s="9" t="s">
        <v>505</v>
      </c>
      <c r="G1" s="4" t="s">
        <v>506</v>
      </c>
      <c r="H1" s="4" t="s">
        <v>507</v>
      </c>
      <c r="I1" s="14" t="s">
        <v>3</v>
      </c>
      <c r="J1" s="16" t="s">
        <v>107</v>
      </c>
    </row>
    <row r="2" spans="1:10">
      <c r="A2" s="7" t="s">
        <v>50</v>
      </c>
      <c r="B2" s="7">
        <v>1</v>
      </c>
      <c r="C2" s="6" t="s">
        <v>508</v>
      </c>
      <c r="D2" s="6" t="s">
        <v>509</v>
      </c>
      <c r="E2" s="6" t="s">
        <v>510</v>
      </c>
      <c r="F2" s="8">
        <v>45719</v>
      </c>
      <c r="G2" s="8">
        <v>45869</v>
      </c>
      <c r="H2" s="17" t="s">
        <v>511</v>
      </c>
      <c r="I2" s="15" t="s">
        <v>110</v>
      </c>
      <c r="J2" s="13" t="s">
        <v>512</v>
      </c>
    </row>
    <row r="3" spans="1:10">
      <c r="A3" s="7" t="s">
        <v>50</v>
      </c>
      <c r="B3" s="7">
        <v>1</v>
      </c>
      <c r="C3" s="6" t="s">
        <v>508</v>
      </c>
      <c r="D3" s="6" t="s">
        <v>513</v>
      </c>
      <c r="E3" s="6" t="s">
        <v>510</v>
      </c>
      <c r="F3" s="8">
        <v>45719</v>
      </c>
      <c r="G3" s="8">
        <v>46387</v>
      </c>
      <c r="H3" s="17" t="s">
        <v>511</v>
      </c>
      <c r="I3" s="15" t="s">
        <v>514</v>
      </c>
      <c r="J3" s="13" t="s">
        <v>515</v>
      </c>
    </row>
    <row r="4" spans="1:10">
      <c r="A4" s="7" t="s">
        <v>50</v>
      </c>
      <c r="B4" s="7">
        <v>1</v>
      </c>
      <c r="C4" s="6" t="s">
        <v>508</v>
      </c>
      <c r="D4" s="6" t="s">
        <v>516</v>
      </c>
      <c r="E4" s="6" t="s">
        <v>510</v>
      </c>
      <c r="F4" s="8">
        <v>45719</v>
      </c>
      <c r="G4" s="8">
        <v>46112</v>
      </c>
      <c r="H4" s="17" t="s">
        <v>511</v>
      </c>
      <c r="I4" s="15" t="s">
        <v>110</v>
      </c>
      <c r="J4" s="13" t="s">
        <v>515</v>
      </c>
    </row>
    <row r="5" spans="1:10">
      <c r="A5" s="7" t="s">
        <v>50</v>
      </c>
      <c r="B5" s="7">
        <v>2</v>
      </c>
      <c r="C5" s="6" t="s">
        <v>508</v>
      </c>
      <c r="D5" s="6" t="s">
        <v>517</v>
      </c>
      <c r="E5" s="6" t="s">
        <v>510</v>
      </c>
      <c r="F5" s="8">
        <v>45931</v>
      </c>
      <c r="G5" s="8">
        <v>46387</v>
      </c>
      <c r="H5" s="17" t="s">
        <v>511</v>
      </c>
      <c r="I5" s="15" t="s">
        <v>514</v>
      </c>
      <c r="J5" s="13" t="s">
        <v>518</v>
      </c>
    </row>
    <row r="6" spans="1:10">
      <c r="A6" s="7" t="s">
        <v>50</v>
      </c>
      <c r="B6" s="7">
        <v>2</v>
      </c>
      <c r="C6" s="6" t="s">
        <v>508</v>
      </c>
      <c r="D6" s="6" t="s">
        <v>519</v>
      </c>
      <c r="E6" s="6" t="s">
        <v>510</v>
      </c>
      <c r="F6" s="8">
        <v>45931</v>
      </c>
      <c r="G6" s="8">
        <v>46387</v>
      </c>
      <c r="H6" s="17" t="s">
        <v>511</v>
      </c>
      <c r="I6" s="15" t="s">
        <v>514</v>
      </c>
      <c r="J6" s="13" t="s">
        <v>520</v>
      </c>
    </row>
    <row r="7" spans="1:10">
      <c r="A7" s="7" t="s">
        <v>50</v>
      </c>
      <c r="B7" s="7">
        <v>2</v>
      </c>
      <c r="C7" s="6" t="s">
        <v>508</v>
      </c>
      <c r="D7" s="6" t="s">
        <v>521</v>
      </c>
      <c r="E7" s="6" t="s">
        <v>510</v>
      </c>
      <c r="F7" s="8">
        <v>45931</v>
      </c>
      <c r="G7" s="8">
        <v>46387</v>
      </c>
      <c r="H7" s="17" t="s">
        <v>511</v>
      </c>
      <c r="I7" s="15" t="s">
        <v>514</v>
      </c>
      <c r="J7" s="13" t="s">
        <v>522</v>
      </c>
    </row>
    <row r="8" spans="1:10">
      <c r="A8" s="7" t="s">
        <v>50</v>
      </c>
      <c r="B8" s="7">
        <v>3</v>
      </c>
      <c r="C8" s="6" t="s">
        <v>508</v>
      </c>
      <c r="D8" s="6" t="s">
        <v>523</v>
      </c>
      <c r="E8" s="6" t="s">
        <v>510</v>
      </c>
      <c r="F8" s="8">
        <v>45992</v>
      </c>
      <c r="G8" s="8">
        <v>46053</v>
      </c>
      <c r="H8" s="17" t="s">
        <v>511</v>
      </c>
      <c r="I8" s="15" t="s">
        <v>110</v>
      </c>
      <c r="J8" s="13" t="s">
        <v>524</v>
      </c>
    </row>
    <row r="9" spans="1:10">
      <c r="A9" s="7" t="s">
        <v>50</v>
      </c>
      <c r="B9" s="7">
        <v>2</v>
      </c>
      <c r="C9" s="6" t="s">
        <v>508</v>
      </c>
      <c r="D9" s="6" t="s">
        <v>525</v>
      </c>
      <c r="E9" s="6" t="s">
        <v>510</v>
      </c>
      <c r="F9" s="8">
        <v>45870</v>
      </c>
      <c r="G9" s="8">
        <v>45961</v>
      </c>
      <c r="H9" s="17" t="s">
        <v>511</v>
      </c>
      <c r="I9" s="15" t="s">
        <v>110</v>
      </c>
      <c r="J9" s="13" t="s">
        <v>526</v>
      </c>
    </row>
    <row r="10" spans="1:10">
      <c r="A10" s="7"/>
      <c r="B10" s="7">
        <v>2</v>
      </c>
      <c r="C10" s="6" t="s">
        <v>527</v>
      </c>
      <c r="D10" s="6" t="s">
        <v>528</v>
      </c>
      <c r="E10" s="6" t="s">
        <v>529</v>
      </c>
      <c r="F10" s="8">
        <v>45747</v>
      </c>
      <c r="G10" s="8">
        <v>45838</v>
      </c>
      <c r="H10" s="7" t="s">
        <v>530</v>
      </c>
      <c r="I10" s="15" t="s">
        <v>110</v>
      </c>
      <c r="J10" s="13" t="s">
        <v>531</v>
      </c>
    </row>
    <row r="11" spans="1:10">
      <c r="A11" s="7"/>
      <c r="B11" s="7">
        <v>2</v>
      </c>
      <c r="C11" s="6" t="s">
        <v>532</v>
      </c>
      <c r="D11" s="6" t="s">
        <v>533</v>
      </c>
      <c r="E11" s="6" t="s">
        <v>510</v>
      </c>
      <c r="F11" s="8">
        <v>45726</v>
      </c>
      <c r="G11" s="8">
        <v>45809</v>
      </c>
      <c r="H11" s="7" t="s">
        <v>530</v>
      </c>
      <c r="I11" s="15" t="s">
        <v>110</v>
      </c>
      <c r="J11" s="13" t="s">
        <v>534</v>
      </c>
    </row>
    <row r="12" spans="1:10">
      <c r="A12" s="7"/>
      <c r="B12" s="7">
        <v>2</v>
      </c>
      <c r="C12" s="6" t="s">
        <v>532</v>
      </c>
      <c r="D12" s="6" t="s">
        <v>535</v>
      </c>
      <c r="E12" s="6" t="s">
        <v>510</v>
      </c>
      <c r="F12" s="8">
        <v>45680</v>
      </c>
      <c r="G12" s="8">
        <v>45782</v>
      </c>
      <c r="H12" s="7" t="s">
        <v>530</v>
      </c>
      <c r="I12" s="15" t="s">
        <v>110</v>
      </c>
      <c r="J12" s="13" t="s">
        <v>536</v>
      </c>
    </row>
    <row r="13" spans="1:10">
      <c r="A13" s="7"/>
      <c r="B13" s="7">
        <v>2</v>
      </c>
      <c r="C13" s="6" t="s">
        <v>532</v>
      </c>
      <c r="D13" s="6" t="s">
        <v>537</v>
      </c>
      <c r="E13" s="6" t="s">
        <v>510</v>
      </c>
      <c r="F13" s="8">
        <v>45717</v>
      </c>
      <c r="G13" s="8">
        <v>45961</v>
      </c>
      <c r="H13" s="7" t="s">
        <v>530</v>
      </c>
      <c r="I13" s="15" t="s">
        <v>110</v>
      </c>
      <c r="J13" s="13" t="s">
        <v>538</v>
      </c>
    </row>
    <row r="14" spans="1:10">
      <c r="A14" s="7"/>
      <c r="B14" s="7">
        <v>2</v>
      </c>
      <c r="C14" s="6" t="s">
        <v>532</v>
      </c>
      <c r="D14" s="6" t="s">
        <v>517</v>
      </c>
      <c r="E14" s="6" t="s">
        <v>510</v>
      </c>
      <c r="F14" s="8">
        <v>45717</v>
      </c>
      <c r="G14" s="8">
        <v>45961</v>
      </c>
      <c r="H14" s="7" t="s">
        <v>530</v>
      </c>
      <c r="I14" s="15" t="s">
        <v>110</v>
      </c>
      <c r="J14" s="13" t="s">
        <v>539</v>
      </c>
    </row>
    <row r="15" spans="1:10">
      <c r="A15" s="7"/>
      <c r="B15" s="7">
        <v>2</v>
      </c>
      <c r="C15" s="6" t="s">
        <v>540</v>
      </c>
      <c r="D15" s="6" t="s">
        <v>541</v>
      </c>
      <c r="E15" s="6" t="s">
        <v>529</v>
      </c>
      <c r="F15" s="6"/>
      <c r="G15" s="6"/>
      <c r="H15" s="7"/>
      <c r="I15" s="15"/>
      <c r="J15" s="6"/>
    </row>
    <row r="16" spans="1:10">
      <c r="A16" s="7"/>
      <c r="B16" s="7">
        <v>2</v>
      </c>
      <c r="C16" s="6" t="s">
        <v>540</v>
      </c>
      <c r="D16" s="6" t="s">
        <v>542</v>
      </c>
      <c r="E16" s="6" t="s">
        <v>529</v>
      </c>
      <c r="F16" s="6"/>
      <c r="G16" s="6"/>
      <c r="H16" s="7"/>
      <c r="I16" s="15"/>
      <c r="J16" s="6"/>
    </row>
    <row r="17" spans="1:10">
      <c r="A17" s="7"/>
      <c r="B17" s="7">
        <v>2</v>
      </c>
      <c r="C17" t="s">
        <v>543</v>
      </c>
      <c r="D17" s="6" t="s">
        <v>541</v>
      </c>
      <c r="E17" s="6" t="s">
        <v>529</v>
      </c>
      <c r="F17" s="6"/>
      <c r="G17" s="6"/>
      <c r="H17" s="7"/>
      <c r="I17" s="15"/>
      <c r="J17" s="6"/>
    </row>
    <row r="18" spans="1:10">
      <c r="A18" s="7"/>
      <c r="B18" s="7">
        <v>2</v>
      </c>
      <c r="C18" s="6" t="s">
        <v>543</v>
      </c>
      <c r="D18" s="6" t="s">
        <v>542</v>
      </c>
      <c r="E18" s="6" t="s">
        <v>529</v>
      </c>
      <c r="F18" s="6"/>
      <c r="G18" s="6"/>
      <c r="H18" s="7"/>
      <c r="I18" s="15"/>
      <c r="J18" s="6"/>
    </row>
    <row r="19" spans="1:10">
      <c r="A19" s="7"/>
      <c r="B19" s="7">
        <v>2</v>
      </c>
      <c r="C19" s="6" t="s">
        <v>540</v>
      </c>
      <c r="D19" s="6" t="s">
        <v>525</v>
      </c>
      <c r="E19" s="6" t="s">
        <v>510</v>
      </c>
      <c r="F19" s="6"/>
      <c r="G19" s="6"/>
      <c r="H19" s="7"/>
      <c r="I19" s="15"/>
      <c r="J19" s="6"/>
    </row>
    <row r="20" spans="1:10">
      <c r="A20" s="7"/>
      <c r="B20" s="7">
        <v>3</v>
      </c>
      <c r="C20" s="6" t="s">
        <v>543</v>
      </c>
      <c r="D20" s="6" t="s">
        <v>525</v>
      </c>
      <c r="E20" s="6" t="s">
        <v>510</v>
      </c>
      <c r="F20" s="6"/>
      <c r="G20" s="6"/>
      <c r="H20" s="7"/>
      <c r="I20" s="15"/>
      <c r="J20" s="6"/>
    </row>
    <row r="21" spans="1:10">
      <c r="A21" s="6"/>
      <c r="B21" s="7">
        <v>2</v>
      </c>
      <c r="C21" s="6" t="s">
        <v>540</v>
      </c>
      <c r="D21" s="6" t="s">
        <v>521</v>
      </c>
      <c r="E21" s="6" t="s">
        <v>510</v>
      </c>
      <c r="F21" s="6"/>
      <c r="G21" s="6"/>
      <c r="H21" s="7"/>
      <c r="I21" s="15"/>
      <c r="J21" s="6"/>
    </row>
    <row r="22" spans="1:10">
      <c r="A22" s="6"/>
      <c r="B22" s="7">
        <v>2</v>
      </c>
      <c r="C22" s="6" t="s">
        <v>540</v>
      </c>
      <c r="D22" s="6" t="s">
        <v>519</v>
      </c>
      <c r="E22" s="6" t="s">
        <v>510</v>
      </c>
      <c r="F22" s="6"/>
      <c r="G22" s="6"/>
      <c r="H22" s="7"/>
      <c r="I22" s="15"/>
      <c r="J22" s="6"/>
    </row>
    <row r="23" spans="1:10">
      <c r="A23" s="6"/>
      <c r="B23" s="7"/>
      <c r="C23" s="6"/>
      <c r="D23" s="6"/>
      <c r="E23" s="6"/>
      <c r="F23" s="6"/>
      <c r="G23" s="6"/>
      <c r="H23" s="7"/>
      <c r="I23" s="15"/>
      <c r="J23" s="6"/>
    </row>
    <row r="24" spans="1:10">
      <c r="A24" s="6"/>
      <c r="B24" s="7"/>
      <c r="C24" s="6"/>
      <c r="D24" s="6"/>
      <c r="E24" s="6"/>
      <c r="F24" s="6"/>
      <c r="G24" s="6"/>
      <c r="H24" s="7"/>
      <c r="I24" s="15"/>
      <c r="J24" s="6"/>
    </row>
    <row r="25" spans="1:10">
      <c r="A25" s="6"/>
      <c r="B25" s="7"/>
      <c r="C25" s="6"/>
      <c r="D25" s="6"/>
      <c r="E25" s="6"/>
      <c r="F25" s="6"/>
      <c r="G25" s="6"/>
      <c r="H25" s="7"/>
      <c r="I25" s="15"/>
      <c r="J25" s="6"/>
    </row>
    <row r="26" spans="1:10">
      <c r="A26" s="6"/>
      <c r="B26" s="7"/>
      <c r="C26" s="6"/>
      <c r="D26" s="6"/>
      <c r="E26" s="6"/>
      <c r="F26" s="6"/>
      <c r="G26" s="6"/>
      <c r="H26" s="7"/>
      <c r="I26" s="15"/>
      <c r="J26" s="6"/>
    </row>
    <row r="27" spans="1:10">
      <c r="A27" s="6"/>
      <c r="B27" s="7"/>
      <c r="C27" s="6"/>
      <c r="D27" s="6"/>
      <c r="E27" s="6"/>
      <c r="F27" s="6"/>
      <c r="G27" s="6"/>
      <c r="H27" s="7"/>
      <c r="I27" s="15"/>
      <c r="J27" s="6"/>
    </row>
    <row r="28" spans="1:10">
      <c r="A28" s="6"/>
      <c r="B28" s="7"/>
      <c r="C28" s="6"/>
      <c r="D28" s="6"/>
      <c r="E28" s="6"/>
      <c r="F28" s="6"/>
      <c r="G28" s="6"/>
      <c r="H28" s="7"/>
      <c r="I28" s="15"/>
      <c r="J28" s="6"/>
    </row>
    <row r="29" spans="1:10">
      <c r="A29" s="6"/>
      <c r="B29" s="7"/>
      <c r="C29" s="6"/>
      <c r="D29" s="6"/>
      <c r="E29" s="6"/>
      <c r="F29" s="6"/>
      <c r="G29" s="6"/>
      <c r="H29" s="7"/>
      <c r="I29" s="15"/>
      <c r="J29" s="6"/>
    </row>
    <row r="30" spans="1:10">
      <c r="A30" s="6"/>
      <c r="B30" s="7"/>
      <c r="C30" s="6"/>
      <c r="D30" s="6"/>
      <c r="E30" s="6"/>
      <c r="F30" s="6"/>
      <c r="G30" s="6"/>
      <c r="H30" s="7"/>
      <c r="I30" s="15"/>
      <c r="J30" s="6"/>
    </row>
    <row r="31" spans="1:10">
      <c r="A31" s="6"/>
      <c r="B31" s="7"/>
      <c r="C31" s="6"/>
      <c r="D31" s="6"/>
      <c r="E31" s="6"/>
      <c r="F31" s="6"/>
      <c r="G31" s="6"/>
      <c r="H31" s="7"/>
      <c r="I31" s="15"/>
      <c r="J31" s="6"/>
    </row>
    <row r="32" spans="1:10">
      <c r="A32" s="6"/>
      <c r="B32" s="7"/>
      <c r="C32" s="6"/>
      <c r="D32" s="6"/>
      <c r="E32" s="6"/>
      <c r="F32" s="6"/>
      <c r="G32" s="6"/>
      <c r="H32" s="7"/>
      <c r="I32" s="15"/>
      <c r="J32" s="6"/>
    </row>
    <row r="33" spans="1:10">
      <c r="A33" s="6"/>
      <c r="B33" s="7"/>
      <c r="C33" s="6"/>
      <c r="D33" s="6"/>
      <c r="E33" s="6"/>
      <c r="F33" s="6"/>
      <c r="G33" s="6"/>
      <c r="H33" s="7"/>
      <c r="I33" s="15"/>
      <c r="J33" s="6"/>
    </row>
    <row r="34" spans="1:10">
      <c r="A34" s="6"/>
      <c r="B34" s="7"/>
      <c r="C34" s="6"/>
      <c r="D34" s="6"/>
      <c r="E34" s="6"/>
      <c r="F34" s="6"/>
      <c r="G34" s="6"/>
      <c r="H34" s="7"/>
      <c r="I34" s="15"/>
      <c r="J34" s="6"/>
    </row>
    <row r="35" spans="1:10">
      <c r="A35" s="6"/>
      <c r="B35" s="7"/>
      <c r="C35" s="6"/>
      <c r="D35" s="6"/>
      <c r="E35" s="6"/>
      <c r="F35" s="6"/>
      <c r="G35" s="6"/>
      <c r="H35" s="7"/>
      <c r="I35" s="15"/>
      <c r="J35" s="6"/>
    </row>
    <row r="36" spans="1:10">
      <c r="A36" s="6"/>
      <c r="B36" s="7"/>
      <c r="C36" s="6"/>
      <c r="D36" s="6"/>
      <c r="E36" s="6"/>
      <c r="F36" s="6"/>
      <c r="G36" s="6"/>
      <c r="H36" s="7"/>
      <c r="I36" s="15"/>
      <c r="J36" s="6"/>
    </row>
    <row r="37" spans="1:10">
      <c r="A37" s="6"/>
      <c r="B37" s="7"/>
      <c r="C37" s="6"/>
      <c r="D37" s="6"/>
      <c r="E37" s="6"/>
      <c r="F37" s="6"/>
      <c r="G37" s="6"/>
      <c r="H37" s="7"/>
      <c r="I37" s="15"/>
      <c r="J37" s="6"/>
    </row>
    <row r="38" spans="1:10">
      <c r="A38" s="6"/>
      <c r="B38" s="7"/>
      <c r="C38" s="6"/>
      <c r="D38" s="6"/>
      <c r="E38" s="6"/>
      <c r="F38" s="6"/>
      <c r="G38" s="6"/>
      <c r="H38" s="7"/>
      <c r="I38" s="15"/>
      <c r="J38" s="6"/>
    </row>
    <row r="39" spans="1:10">
      <c r="A39" s="6"/>
      <c r="B39" s="7"/>
      <c r="C39" s="6"/>
      <c r="D39" s="6"/>
      <c r="E39" s="6"/>
      <c r="F39" s="6"/>
      <c r="G39" s="6"/>
      <c r="H39" s="7"/>
      <c r="I39" s="15"/>
      <c r="J39" s="6"/>
    </row>
    <row r="40" spans="1:10">
      <c r="A40" s="6"/>
      <c r="B40" s="7"/>
      <c r="C40" s="6"/>
      <c r="D40" s="6"/>
      <c r="E40" s="6"/>
      <c r="F40" s="6"/>
      <c r="G40" s="6"/>
      <c r="H40" s="7"/>
      <c r="I40" s="15"/>
      <c r="J40" s="6"/>
    </row>
    <row r="41" spans="1:10">
      <c r="A41" s="6"/>
      <c r="B41" s="7"/>
      <c r="C41" s="6"/>
      <c r="D41" s="6"/>
      <c r="E41" s="6"/>
      <c r="F41" s="6"/>
      <c r="G41" s="6"/>
      <c r="H41" s="7"/>
      <c r="I41" s="15"/>
      <c r="J41" s="6"/>
    </row>
    <row r="42" spans="1:10">
      <c r="A42" s="6"/>
      <c r="B42" s="7"/>
      <c r="C42" s="6"/>
      <c r="D42" s="6"/>
      <c r="E42" s="6"/>
      <c r="F42" s="6"/>
      <c r="G42" s="6"/>
      <c r="H42" s="7"/>
      <c r="I42" s="15"/>
      <c r="J42" s="6"/>
    </row>
    <row r="43" spans="1:10">
      <c r="A43" s="6"/>
      <c r="B43" s="7"/>
      <c r="C43" s="6"/>
      <c r="D43" s="6"/>
      <c r="E43" s="6"/>
      <c r="F43" s="6"/>
      <c r="G43" s="6"/>
      <c r="H43" s="7"/>
      <c r="I43" s="15"/>
      <c r="J43" s="6"/>
    </row>
    <row r="44" spans="1:10">
      <c r="A44" s="6"/>
      <c r="B44" s="7"/>
      <c r="C44" s="6"/>
      <c r="D44" s="6"/>
      <c r="E44" s="6"/>
      <c r="F44" s="6"/>
      <c r="G44" s="6"/>
      <c r="H44" s="7"/>
      <c r="I44" s="15"/>
      <c r="J44" s="6"/>
    </row>
    <row r="45" spans="1:10">
      <c r="A45" s="6"/>
      <c r="B45" s="7"/>
      <c r="C45" s="6"/>
      <c r="D45" s="6"/>
      <c r="E45" s="6"/>
      <c r="F45" s="6"/>
      <c r="G45" s="6"/>
      <c r="H45" s="7"/>
      <c r="I45" s="15"/>
      <c r="J45" s="6"/>
    </row>
    <row r="46" spans="1:10">
      <c r="A46" s="6"/>
      <c r="B46" s="7"/>
      <c r="C46" s="6"/>
      <c r="D46" s="6"/>
      <c r="E46" s="6"/>
      <c r="F46" s="6"/>
      <c r="G46" s="6"/>
      <c r="H46" s="7"/>
      <c r="I46" s="15"/>
      <c r="J46" s="6"/>
    </row>
    <row r="47" spans="1:10">
      <c r="A47" s="6"/>
      <c r="B47" s="7"/>
      <c r="C47" s="6"/>
      <c r="D47" s="6"/>
      <c r="E47" s="6"/>
      <c r="F47" s="6"/>
      <c r="G47" s="6"/>
      <c r="H47" s="7"/>
      <c r="I47" s="15"/>
      <c r="J47" s="6"/>
    </row>
    <row r="48" spans="1:10">
      <c r="A48" s="6"/>
      <c r="B48" s="7"/>
      <c r="C48" s="6"/>
      <c r="D48" s="6"/>
      <c r="E48" s="6"/>
      <c r="F48" s="6"/>
      <c r="G48" s="6"/>
      <c r="H48" s="7"/>
      <c r="I48" s="15"/>
      <c r="J48" s="6"/>
    </row>
    <row r="49" spans="1:10">
      <c r="A49" s="6"/>
      <c r="B49" s="7"/>
      <c r="C49" s="6"/>
      <c r="D49" s="6"/>
      <c r="E49" s="6"/>
      <c r="F49" s="6"/>
      <c r="G49" s="6"/>
      <c r="H49" s="7"/>
      <c r="I49" s="15"/>
      <c r="J49" s="6"/>
    </row>
    <row r="50" spans="1:10">
      <c r="A50" s="6"/>
      <c r="B50" s="7"/>
      <c r="C50" s="6"/>
      <c r="D50" s="6"/>
      <c r="E50" s="6"/>
      <c r="F50" s="6"/>
      <c r="G50" s="6"/>
      <c r="H50" s="7"/>
      <c r="I50" s="15"/>
      <c r="J50" s="6"/>
    </row>
    <row r="51" spans="1:10">
      <c r="A51" s="6"/>
      <c r="B51" s="7"/>
      <c r="C51" s="6"/>
      <c r="D51" s="6"/>
      <c r="E51" s="6"/>
      <c r="F51" s="6"/>
      <c r="G51" s="6"/>
      <c r="H51" s="7"/>
      <c r="I51" s="15"/>
      <c r="J51" s="6"/>
    </row>
    <row r="52" spans="1:10">
      <c r="A52" s="6"/>
      <c r="B52" s="7"/>
      <c r="C52" s="6"/>
      <c r="D52" s="6"/>
      <c r="E52" s="6"/>
      <c r="F52" s="6"/>
      <c r="G52" s="6"/>
      <c r="H52" s="7"/>
      <c r="I52" s="15"/>
      <c r="J52" s="6"/>
    </row>
    <row r="53" spans="1:10">
      <c r="A53" s="6"/>
      <c r="B53" s="7"/>
      <c r="C53" s="6"/>
      <c r="D53" s="6"/>
      <c r="E53" s="6"/>
      <c r="F53" s="6"/>
      <c r="G53" s="6"/>
      <c r="H53" s="7"/>
      <c r="I53" s="15"/>
      <c r="J53" s="6"/>
    </row>
    <row r="54" spans="1:10">
      <c r="A54" s="6"/>
      <c r="B54" s="7"/>
      <c r="C54" s="6"/>
      <c r="D54" s="6"/>
      <c r="E54" s="6"/>
      <c r="F54" s="6"/>
      <c r="G54" s="6"/>
      <c r="H54" s="7"/>
      <c r="I54" s="15"/>
      <c r="J54" s="6"/>
    </row>
    <row r="55" spans="1:10">
      <c r="A55" s="6"/>
      <c r="B55" s="7"/>
      <c r="C55" s="6"/>
      <c r="D55" s="6"/>
      <c r="E55" s="6"/>
      <c r="F55" s="6"/>
      <c r="G55" s="6"/>
      <c r="H55" s="7"/>
      <c r="I55" s="15"/>
      <c r="J55" s="6"/>
    </row>
    <row r="56" spans="1:10">
      <c r="A56" s="6"/>
      <c r="B56" s="7"/>
      <c r="C56" s="6"/>
      <c r="D56" s="6"/>
      <c r="E56" s="6"/>
      <c r="F56" s="6"/>
      <c r="G56" s="6"/>
      <c r="H56" s="7"/>
      <c r="I56" s="15"/>
      <c r="J56" s="6"/>
    </row>
    <row r="57" spans="1:10">
      <c r="A57" s="6"/>
      <c r="B57" s="7"/>
      <c r="C57" s="6"/>
      <c r="D57" s="6"/>
      <c r="E57" s="6"/>
      <c r="F57" s="6"/>
      <c r="G57" s="6"/>
      <c r="H57" s="7"/>
      <c r="I57" s="15"/>
      <c r="J57" s="6"/>
    </row>
    <row r="58" spans="1:10">
      <c r="A58" s="6"/>
      <c r="B58" s="7"/>
      <c r="C58" s="6"/>
      <c r="D58" s="6"/>
      <c r="E58" s="6"/>
      <c r="F58" s="6"/>
      <c r="G58" s="6"/>
      <c r="H58" s="7"/>
      <c r="I58" s="15"/>
      <c r="J58" s="6"/>
    </row>
    <row r="59" spans="1:10">
      <c r="A59" s="6"/>
      <c r="B59" s="7"/>
      <c r="C59" s="6"/>
      <c r="D59" s="6"/>
      <c r="E59" s="6"/>
      <c r="F59" s="6"/>
      <c r="G59" s="6"/>
      <c r="H59" s="7"/>
      <c r="I59" s="15"/>
      <c r="J59" s="6"/>
    </row>
    <row r="60" spans="1:10">
      <c r="A60" s="6"/>
      <c r="B60" s="7"/>
      <c r="C60" s="6"/>
      <c r="D60" s="6"/>
      <c r="E60" s="6"/>
      <c r="F60" s="6"/>
      <c r="G60" s="6"/>
      <c r="H60" s="7"/>
      <c r="I60" s="15"/>
      <c r="J60" s="6"/>
    </row>
    <row r="61" spans="1:10">
      <c r="A61" s="6"/>
      <c r="B61" s="7"/>
      <c r="C61" s="6"/>
      <c r="D61" s="6"/>
      <c r="E61" s="6"/>
      <c r="F61" s="6"/>
      <c r="G61" s="6"/>
      <c r="H61" s="7"/>
      <c r="I61" s="15"/>
      <c r="J61" s="6"/>
    </row>
    <row r="62" spans="1:10">
      <c r="A62" s="6"/>
      <c r="B62" s="7"/>
      <c r="C62" s="6"/>
      <c r="D62" s="6"/>
      <c r="E62" s="6"/>
      <c r="F62" s="6"/>
      <c r="G62" s="6"/>
      <c r="H62" s="7"/>
      <c r="I62" s="15"/>
      <c r="J62" s="6"/>
    </row>
    <row r="63" spans="1:10">
      <c r="A63" s="6"/>
      <c r="B63" s="7"/>
      <c r="C63" s="6"/>
      <c r="D63" s="6"/>
      <c r="E63" s="6"/>
      <c r="F63" s="6"/>
      <c r="G63" s="6"/>
      <c r="H63" s="7"/>
      <c r="I63" s="15"/>
      <c r="J63" s="6"/>
    </row>
    <row r="64" spans="1:10">
      <c r="A64" s="6"/>
      <c r="B64" s="7"/>
      <c r="C64" s="6"/>
      <c r="D64" s="6"/>
      <c r="E64" s="6"/>
      <c r="F64" s="6"/>
      <c r="G64" s="6"/>
      <c r="H64" s="7"/>
      <c r="I64" s="15"/>
      <c r="J64" s="6"/>
    </row>
    <row r="65" spans="1:10">
      <c r="A65" s="6"/>
      <c r="B65" s="7"/>
      <c r="C65" s="6"/>
      <c r="D65" s="6"/>
      <c r="E65" s="6"/>
      <c r="F65" s="6"/>
      <c r="G65" s="6"/>
      <c r="H65" s="7"/>
      <c r="I65" s="15"/>
      <c r="J65" s="6"/>
    </row>
    <row r="66" spans="1:10">
      <c r="A66" s="6"/>
      <c r="B66" s="7"/>
      <c r="C66" s="6"/>
      <c r="D66" s="6"/>
      <c r="E66" s="6"/>
      <c r="F66" s="6"/>
      <c r="G66" s="6"/>
      <c r="H66" s="7"/>
      <c r="I66" s="15"/>
      <c r="J66" s="6"/>
    </row>
  </sheetData>
  <hyperlinks>
    <hyperlink ref="J10" r:id="rId1" xr:uid="{92D72755-512B-4CBB-B366-05DB7294E438}"/>
    <hyperlink ref="J11" r:id="rId2" xr:uid="{D0C81B79-5933-4E91-ADB3-9809F875A531}"/>
    <hyperlink ref="J12" r:id="rId3" xr:uid="{E3C829AE-9F15-4751-94ED-6FAB6EB6A742}"/>
    <hyperlink ref="J2" r:id="rId4" xr:uid="{3F1D35B2-F771-49CD-A5FE-95EF1F2A2169}"/>
    <hyperlink ref="J3" r:id="rId5" xr:uid="{BD836D48-632A-46EF-A9A4-25342551F9AD}"/>
    <hyperlink ref="J4" r:id="rId6" xr:uid="{F565BB5B-7F8E-4A60-B092-1C4BC7DBE633}"/>
    <hyperlink ref="J5" r:id="rId7" xr:uid="{6B1ED4A7-9118-424B-85D9-EE1EB813A2D7}"/>
    <hyperlink ref="J6" r:id="rId8" xr:uid="{2BDCE51B-A811-4237-B96A-167F25D62D3F}"/>
    <hyperlink ref="J7" r:id="rId9" xr:uid="{A1823C61-92D9-4000-B0E9-B2D0AE9BA444}"/>
    <hyperlink ref="J8" r:id="rId10" xr:uid="{EBEA7C1D-C49E-4538-9484-A455650D9185}"/>
    <hyperlink ref="J9" r:id="rId11" xr:uid="{B6A9752F-9903-4A33-8D93-AD404E8DE74C}"/>
    <hyperlink ref="J13" r:id="rId12" xr:uid="{B53F88B1-9FB0-487D-8C63-82489B0C4C99}"/>
    <hyperlink ref="J14" r:id="rId13" xr:uid="{F6B10205-481E-4835-B33A-8A62C0BE85E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4D37-C018-461B-B81A-1861968E07A5}">
  <dimension ref="A1:G13"/>
  <sheetViews>
    <sheetView workbookViewId="0"/>
  </sheetViews>
  <sheetFormatPr defaultRowHeight="15"/>
  <cols>
    <col min="1" max="2" width="9.140625" style="2"/>
    <col min="3" max="3" width="18.140625" customWidth="1"/>
    <col min="4" max="4" width="21.140625" customWidth="1"/>
    <col min="5" max="5" width="31" customWidth="1"/>
    <col min="6" max="6" width="31.140625" bestFit="1" customWidth="1"/>
    <col min="7" max="7" width="17.5703125" customWidth="1"/>
  </cols>
  <sheetData>
    <row r="1" spans="1:7">
      <c r="A1" s="4" t="s">
        <v>26</v>
      </c>
      <c r="B1" s="4" t="s">
        <v>0</v>
      </c>
      <c r="C1" s="4" t="s">
        <v>544</v>
      </c>
      <c r="D1" s="4" t="s">
        <v>545</v>
      </c>
      <c r="E1" s="4" t="s">
        <v>2</v>
      </c>
      <c r="F1" s="4" t="s">
        <v>546</v>
      </c>
      <c r="G1" s="4" t="s">
        <v>3</v>
      </c>
    </row>
    <row r="2" spans="1:7">
      <c r="A2" s="7" t="s">
        <v>60</v>
      </c>
      <c r="B2" s="7">
        <v>2</v>
      </c>
      <c r="C2" s="6" t="s">
        <v>547</v>
      </c>
      <c r="D2" s="6" t="s">
        <v>548</v>
      </c>
      <c r="E2" s="6" t="s">
        <v>549</v>
      </c>
      <c r="F2" s="6" t="s">
        <v>510</v>
      </c>
      <c r="G2" s="6" t="s">
        <v>110</v>
      </c>
    </row>
    <row r="3" spans="1:7">
      <c r="A3" s="7" t="s">
        <v>60</v>
      </c>
      <c r="B3" s="7">
        <v>2</v>
      </c>
      <c r="C3" s="6" t="s">
        <v>550</v>
      </c>
      <c r="D3" s="6" t="s">
        <v>548</v>
      </c>
      <c r="E3" s="6" t="s">
        <v>551</v>
      </c>
      <c r="F3" s="6" t="s">
        <v>510</v>
      </c>
      <c r="G3" s="6" t="s">
        <v>110</v>
      </c>
    </row>
    <row r="4" spans="1:7">
      <c r="A4" s="7" t="s">
        <v>60</v>
      </c>
      <c r="B4" s="7">
        <v>3</v>
      </c>
      <c r="C4" s="6" t="s">
        <v>552</v>
      </c>
      <c r="D4" s="6" t="s">
        <v>553</v>
      </c>
      <c r="E4" s="6" t="s">
        <v>554</v>
      </c>
      <c r="F4" s="6" t="s">
        <v>555</v>
      </c>
      <c r="G4" s="6" t="s">
        <v>110</v>
      </c>
    </row>
    <row r="5" spans="1:7">
      <c r="A5" s="7" t="s">
        <v>60</v>
      </c>
      <c r="B5" s="7">
        <v>4</v>
      </c>
      <c r="C5" s="6" t="s">
        <v>556</v>
      </c>
      <c r="D5" s="6" t="s">
        <v>557</v>
      </c>
      <c r="E5" s="6" t="s">
        <v>558</v>
      </c>
      <c r="F5" s="6" t="s">
        <v>559</v>
      </c>
      <c r="G5" s="6" t="s">
        <v>110</v>
      </c>
    </row>
    <row r="6" spans="1:7">
      <c r="A6" s="7"/>
      <c r="B6" s="7"/>
      <c r="C6" s="6"/>
      <c r="D6" s="6"/>
      <c r="E6" s="6"/>
      <c r="F6" s="6"/>
      <c r="G6" s="6"/>
    </row>
    <row r="7" spans="1:7">
      <c r="A7" s="7"/>
      <c r="B7" s="7"/>
      <c r="C7" s="6"/>
      <c r="D7" s="6"/>
      <c r="E7" s="6"/>
      <c r="F7" s="6"/>
      <c r="G7" s="6"/>
    </row>
    <row r="8" spans="1:7">
      <c r="A8" s="7"/>
      <c r="B8" s="7"/>
      <c r="C8" s="6"/>
      <c r="D8" s="6"/>
      <c r="E8" s="6"/>
      <c r="F8" s="6"/>
      <c r="G8" s="6"/>
    </row>
    <row r="9" spans="1:7">
      <c r="A9" s="7"/>
      <c r="B9" s="7"/>
      <c r="C9" s="6"/>
      <c r="D9" s="6"/>
      <c r="E9" s="6"/>
      <c r="F9" s="6"/>
      <c r="G9" s="6"/>
    </row>
    <row r="10" spans="1:7">
      <c r="A10" s="7"/>
      <c r="B10" s="7"/>
      <c r="C10" s="6"/>
      <c r="D10" s="6"/>
      <c r="E10" s="6"/>
      <c r="F10" s="6"/>
      <c r="G10" s="6"/>
    </row>
    <row r="11" spans="1:7">
      <c r="A11" s="7"/>
      <c r="B11" s="7"/>
      <c r="C11" s="6"/>
      <c r="D11" s="6"/>
      <c r="E11" s="6"/>
      <c r="F11" s="6"/>
      <c r="G11" s="6"/>
    </row>
    <row r="12" spans="1:7">
      <c r="A12" s="7"/>
      <c r="B12" s="7"/>
      <c r="C12" s="6"/>
      <c r="D12" s="6"/>
      <c r="E12" s="6"/>
      <c r="F12" s="6"/>
      <c r="G12" s="6"/>
    </row>
    <row r="13" spans="1:7">
      <c r="A13" s="7"/>
      <c r="B13" s="7"/>
      <c r="C13" s="6"/>
      <c r="D13" s="6"/>
      <c r="E13" s="6"/>
      <c r="F13" s="6"/>
      <c r="G1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E533-20B1-4E73-A238-E9321BF651D0}">
  <dimension ref="A1:T72"/>
  <sheetViews>
    <sheetView workbookViewId="0">
      <pane ySplit="1" topLeftCell="A24" activePane="bottomLeft" state="frozen"/>
      <selection pane="bottomLeft" activeCell="D34" sqref="D34"/>
    </sheetView>
  </sheetViews>
  <sheetFormatPr defaultRowHeight="15"/>
  <cols>
    <col min="1" max="1" width="10.42578125" bestFit="1" customWidth="1"/>
    <col min="2" max="2" width="9.85546875" bestFit="1" customWidth="1"/>
    <col min="3" max="3" width="39.28515625" style="1" customWidth="1"/>
    <col min="4" max="4" width="8.85546875" bestFit="1" customWidth="1"/>
    <col min="5" max="5" width="30.140625" style="71" customWidth="1"/>
    <col min="6" max="6" width="53.85546875" customWidth="1"/>
    <col min="7" max="7" width="21.7109375" customWidth="1"/>
    <col min="8" max="8" width="26.7109375" customWidth="1"/>
    <col min="9" max="9" width="20.5703125" customWidth="1"/>
    <col min="10" max="10" width="20.28515625" customWidth="1"/>
    <col min="11" max="11" width="32.28515625" bestFit="1" customWidth="1"/>
    <col min="12" max="12" width="34.7109375" bestFit="1" customWidth="1"/>
    <col min="13" max="13" width="20.42578125" bestFit="1" customWidth="1"/>
    <col min="14" max="14" width="22" bestFit="1" customWidth="1"/>
    <col min="15" max="15" width="31.7109375" bestFit="1" customWidth="1"/>
    <col min="16" max="16" width="32.140625" bestFit="1" customWidth="1"/>
    <col min="17" max="17" width="31.7109375" bestFit="1" customWidth="1"/>
    <col min="18" max="18" width="37.42578125" bestFit="1" customWidth="1"/>
    <col min="19" max="19" width="26.28515625" bestFit="1" customWidth="1"/>
  </cols>
  <sheetData>
    <row r="1" spans="1:19">
      <c r="A1" s="101" t="s">
        <v>560</v>
      </c>
      <c r="B1" s="101" t="s">
        <v>561</v>
      </c>
      <c r="C1" s="76" t="s">
        <v>562</v>
      </c>
      <c r="D1" s="44" t="s">
        <v>563</v>
      </c>
      <c r="E1" s="69" t="s">
        <v>564</v>
      </c>
      <c r="F1" s="45" t="s">
        <v>565</v>
      </c>
      <c r="G1" s="44" t="s">
        <v>566</v>
      </c>
      <c r="H1" s="44" t="s">
        <v>567</v>
      </c>
      <c r="I1" s="44" t="s">
        <v>568</v>
      </c>
      <c r="J1" s="44" t="s">
        <v>569</v>
      </c>
      <c r="K1" s="46" t="s">
        <v>570</v>
      </c>
      <c r="L1" s="46" t="s">
        <v>571</v>
      </c>
      <c r="M1" s="46" t="s">
        <v>572</v>
      </c>
      <c r="N1" s="46" t="s">
        <v>573</v>
      </c>
      <c r="O1" s="46" t="s">
        <v>574</v>
      </c>
      <c r="P1" s="46" t="s">
        <v>575</v>
      </c>
      <c r="Q1" s="46" t="s">
        <v>576</v>
      </c>
      <c r="R1" s="46" t="s">
        <v>577</v>
      </c>
      <c r="S1" s="46" t="s">
        <v>578</v>
      </c>
    </row>
    <row r="2" spans="1:19" ht="58.5" customHeight="1">
      <c r="A2" s="124" t="s">
        <v>579</v>
      </c>
      <c r="B2" s="124" t="s">
        <v>30</v>
      </c>
      <c r="C2" s="138" t="s">
        <v>580</v>
      </c>
      <c r="D2" s="139" t="s">
        <v>581</v>
      </c>
      <c r="E2" s="126" t="s">
        <v>582</v>
      </c>
      <c r="F2" s="140" t="s">
        <v>583</v>
      </c>
      <c r="G2" s="141" t="s">
        <v>584</v>
      </c>
      <c r="H2" s="138" t="s">
        <v>585</v>
      </c>
      <c r="I2" s="138" t="s">
        <v>586</v>
      </c>
      <c r="J2" s="138" t="s">
        <v>587</v>
      </c>
      <c r="K2" s="47">
        <v>7</v>
      </c>
      <c r="L2" s="47">
        <v>14</v>
      </c>
      <c r="M2" s="47">
        <v>4</v>
      </c>
      <c r="N2" s="47">
        <v>16</v>
      </c>
      <c r="O2" s="47">
        <v>4</v>
      </c>
      <c r="P2" s="47">
        <v>1</v>
      </c>
      <c r="Q2" s="47">
        <v>1</v>
      </c>
      <c r="R2" s="47">
        <v>0</v>
      </c>
      <c r="S2" s="47">
        <v>0</v>
      </c>
    </row>
    <row r="3" spans="1:19" ht="67.5">
      <c r="A3" s="124" t="s">
        <v>588</v>
      </c>
      <c r="B3" s="124" t="s">
        <v>34</v>
      </c>
      <c r="C3" s="138" t="s">
        <v>589</v>
      </c>
      <c r="D3" s="142" t="s">
        <v>590</v>
      </c>
      <c r="E3" s="143" t="s">
        <v>591</v>
      </c>
      <c r="F3" s="144" t="s">
        <v>592</v>
      </c>
      <c r="G3" s="145" t="s">
        <v>593</v>
      </c>
      <c r="H3" s="138" t="s">
        <v>594</v>
      </c>
      <c r="I3" s="138" t="s">
        <v>595</v>
      </c>
      <c r="J3" s="138" t="s">
        <v>596</v>
      </c>
      <c r="K3" s="47">
        <v>10</v>
      </c>
      <c r="L3" s="47">
        <v>13</v>
      </c>
      <c r="M3" s="47">
        <v>3</v>
      </c>
      <c r="N3" s="47">
        <v>12</v>
      </c>
      <c r="O3" s="47">
        <v>4</v>
      </c>
      <c r="P3" s="47">
        <v>1</v>
      </c>
      <c r="Q3" s="47">
        <v>1</v>
      </c>
      <c r="R3" s="47">
        <v>2</v>
      </c>
      <c r="S3" s="47">
        <v>2</v>
      </c>
    </row>
    <row r="4" spans="1:19" ht="40.5">
      <c r="A4" s="124" t="s">
        <v>597</v>
      </c>
      <c r="B4" s="124" t="s">
        <v>32</v>
      </c>
      <c r="C4" s="138" t="s">
        <v>598</v>
      </c>
      <c r="D4" s="138" t="s">
        <v>581</v>
      </c>
      <c r="E4" s="126">
        <v>45728</v>
      </c>
      <c r="F4" s="140" t="s">
        <v>599</v>
      </c>
      <c r="G4" s="138" t="s">
        <v>600</v>
      </c>
      <c r="H4" s="138" t="s">
        <v>585</v>
      </c>
      <c r="I4" s="138" t="s">
        <v>601</v>
      </c>
      <c r="J4" s="138" t="s">
        <v>602</v>
      </c>
      <c r="K4" s="47">
        <v>6</v>
      </c>
      <c r="L4" s="47">
        <v>16</v>
      </c>
      <c r="M4" s="47">
        <v>1</v>
      </c>
      <c r="N4" s="47">
        <v>4</v>
      </c>
      <c r="O4" s="47">
        <v>4</v>
      </c>
      <c r="P4" s="3">
        <v>0</v>
      </c>
      <c r="Q4" s="47">
        <v>0</v>
      </c>
      <c r="R4" s="47">
        <v>0</v>
      </c>
      <c r="S4" s="47">
        <v>0</v>
      </c>
    </row>
    <row r="5" spans="1:19" ht="40.5">
      <c r="A5" s="124" t="s">
        <v>603</v>
      </c>
      <c r="B5" s="124" t="s">
        <v>28</v>
      </c>
      <c r="C5" s="138" t="s">
        <v>604</v>
      </c>
      <c r="D5" s="138" t="s">
        <v>590</v>
      </c>
      <c r="E5" s="126" t="s">
        <v>605</v>
      </c>
      <c r="F5" s="140" t="s">
        <v>606</v>
      </c>
      <c r="G5" s="138" t="s">
        <v>111</v>
      </c>
      <c r="H5" s="138" t="s">
        <v>607</v>
      </c>
      <c r="I5" s="138" t="s">
        <v>608</v>
      </c>
      <c r="J5" s="138" t="s">
        <v>602</v>
      </c>
      <c r="K5" s="47">
        <v>6</v>
      </c>
      <c r="L5" s="47"/>
      <c r="M5" s="47">
        <v>2</v>
      </c>
      <c r="N5" s="47">
        <v>8</v>
      </c>
      <c r="O5" s="47"/>
      <c r="P5" s="47"/>
      <c r="Q5" s="47"/>
      <c r="R5" s="47"/>
      <c r="S5" s="47">
        <v>2</v>
      </c>
    </row>
    <row r="6" spans="1:19" ht="53.25">
      <c r="A6" s="124" t="s">
        <v>609</v>
      </c>
      <c r="B6" s="124" t="s">
        <v>32</v>
      </c>
      <c r="C6" s="138" t="s">
        <v>610</v>
      </c>
      <c r="D6" s="146" t="s">
        <v>590</v>
      </c>
      <c r="E6" s="126">
        <v>45806</v>
      </c>
      <c r="F6" s="140" t="s">
        <v>611</v>
      </c>
      <c r="G6" s="146" t="s">
        <v>600</v>
      </c>
      <c r="H6" s="138" t="s">
        <v>585</v>
      </c>
      <c r="I6" s="138" t="s">
        <v>612</v>
      </c>
      <c r="J6" s="138" t="s">
        <v>596</v>
      </c>
      <c r="K6" s="47">
        <v>7</v>
      </c>
      <c r="L6" s="47">
        <v>13</v>
      </c>
      <c r="M6" s="47">
        <v>1</v>
      </c>
      <c r="N6" s="47">
        <v>4</v>
      </c>
      <c r="O6" s="47">
        <v>3</v>
      </c>
      <c r="P6" s="47">
        <v>0</v>
      </c>
      <c r="Q6" s="47">
        <v>1</v>
      </c>
      <c r="R6" s="47">
        <v>0</v>
      </c>
      <c r="S6" s="47">
        <v>0</v>
      </c>
    </row>
    <row r="7" spans="1:19" ht="27">
      <c r="A7" s="147" t="s">
        <v>613</v>
      </c>
      <c r="B7" s="124" t="s">
        <v>36</v>
      </c>
      <c r="C7" s="148" t="s">
        <v>614</v>
      </c>
      <c r="D7" s="148" t="s">
        <v>581</v>
      </c>
      <c r="E7" s="149">
        <v>45807</v>
      </c>
      <c r="F7" s="150" t="s">
        <v>615</v>
      </c>
      <c r="G7" s="148" t="s">
        <v>616</v>
      </c>
      <c r="H7" s="138" t="s">
        <v>617</v>
      </c>
      <c r="I7" s="138" t="s">
        <v>618</v>
      </c>
      <c r="J7" s="138" t="s">
        <v>619</v>
      </c>
      <c r="K7" s="47">
        <v>4</v>
      </c>
      <c r="L7" s="47">
        <v>5</v>
      </c>
      <c r="M7" s="47">
        <v>1</v>
      </c>
      <c r="N7" s="47">
        <v>4</v>
      </c>
      <c r="O7" s="47">
        <v>3</v>
      </c>
      <c r="P7" s="47">
        <v>0</v>
      </c>
      <c r="Q7" s="47">
        <v>0</v>
      </c>
      <c r="R7" s="47">
        <v>0</v>
      </c>
      <c r="S7" s="47">
        <v>0</v>
      </c>
    </row>
    <row r="8" spans="1:19" ht="27">
      <c r="A8" s="124" t="s">
        <v>620</v>
      </c>
      <c r="B8" s="124" t="s">
        <v>32</v>
      </c>
      <c r="C8" s="138" t="s">
        <v>621</v>
      </c>
      <c r="D8" s="138" t="s">
        <v>590</v>
      </c>
      <c r="E8" s="126">
        <v>45814</v>
      </c>
      <c r="F8" s="140" t="s">
        <v>622</v>
      </c>
      <c r="G8" s="138" t="s">
        <v>600</v>
      </c>
      <c r="H8" s="138" t="s">
        <v>623</v>
      </c>
      <c r="I8" s="138" t="s">
        <v>586</v>
      </c>
      <c r="J8" s="138" t="s">
        <v>624</v>
      </c>
      <c r="K8" s="47">
        <v>8</v>
      </c>
      <c r="L8" s="47">
        <v>17</v>
      </c>
      <c r="M8" s="47">
        <v>1</v>
      </c>
      <c r="N8" s="47">
        <v>4</v>
      </c>
      <c r="O8" s="47">
        <v>4</v>
      </c>
      <c r="P8" s="47">
        <v>0</v>
      </c>
      <c r="Q8" s="47">
        <v>0</v>
      </c>
      <c r="R8" s="47">
        <v>0</v>
      </c>
      <c r="S8" s="47">
        <v>0</v>
      </c>
    </row>
    <row r="9" spans="1:19" ht="100.5" customHeight="1">
      <c r="A9" s="124" t="s">
        <v>625</v>
      </c>
      <c r="B9" s="124" t="s">
        <v>38</v>
      </c>
      <c r="C9" s="138" t="s">
        <v>626</v>
      </c>
      <c r="D9" s="138" t="s">
        <v>581</v>
      </c>
      <c r="E9" s="126">
        <v>45840</v>
      </c>
      <c r="F9" s="140" t="s">
        <v>627</v>
      </c>
      <c r="G9" s="138" t="s">
        <v>39</v>
      </c>
      <c r="H9" s="138" t="s">
        <v>628</v>
      </c>
      <c r="I9" s="138" t="s">
        <v>586</v>
      </c>
      <c r="J9" s="138" t="s">
        <v>629</v>
      </c>
      <c r="K9" s="47">
        <v>8</v>
      </c>
      <c r="L9" s="47">
        <v>13</v>
      </c>
      <c r="M9" s="47">
        <v>1</v>
      </c>
      <c r="N9" s="47">
        <v>4</v>
      </c>
      <c r="O9" s="47">
        <v>3</v>
      </c>
      <c r="P9" s="47">
        <v>0</v>
      </c>
      <c r="Q9" s="47">
        <v>1</v>
      </c>
      <c r="R9" s="47">
        <v>0</v>
      </c>
      <c r="S9" s="47">
        <v>0</v>
      </c>
    </row>
    <row r="10" spans="1:19" ht="53.25">
      <c r="A10" s="124" t="s">
        <v>630</v>
      </c>
      <c r="B10" s="124" t="s">
        <v>32</v>
      </c>
      <c r="C10" s="138" t="s">
        <v>631</v>
      </c>
      <c r="D10" s="138" t="s">
        <v>581</v>
      </c>
      <c r="E10" s="126" t="s">
        <v>632</v>
      </c>
      <c r="F10" s="140" t="s">
        <v>633</v>
      </c>
      <c r="G10" s="138" t="s">
        <v>600</v>
      </c>
      <c r="H10" s="138" t="s">
        <v>634</v>
      </c>
      <c r="I10" s="138" t="s">
        <v>635</v>
      </c>
      <c r="J10" s="138" t="s">
        <v>636</v>
      </c>
      <c r="K10" s="47">
        <v>8</v>
      </c>
      <c r="L10" s="47">
        <v>23</v>
      </c>
      <c r="M10" s="47">
        <v>2</v>
      </c>
      <c r="N10" s="47">
        <v>8</v>
      </c>
      <c r="O10" s="47"/>
      <c r="P10" s="47">
        <v>0</v>
      </c>
      <c r="Q10" s="47">
        <v>0</v>
      </c>
      <c r="R10" s="47">
        <v>0</v>
      </c>
      <c r="S10" s="47">
        <v>0</v>
      </c>
    </row>
    <row r="11" spans="1:19" ht="53.25">
      <c r="A11" s="124" t="s">
        <v>637</v>
      </c>
      <c r="B11" s="124" t="s">
        <v>32</v>
      </c>
      <c r="C11" s="138" t="s">
        <v>638</v>
      </c>
      <c r="D11" s="138" t="s">
        <v>581</v>
      </c>
      <c r="E11" s="126" t="s">
        <v>639</v>
      </c>
      <c r="F11" s="140" t="s">
        <v>640</v>
      </c>
      <c r="G11" s="138" t="s">
        <v>600</v>
      </c>
      <c r="H11" s="138" t="s">
        <v>641</v>
      </c>
      <c r="I11" s="138" t="s">
        <v>642</v>
      </c>
      <c r="J11" s="138" t="s">
        <v>636</v>
      </c>
      <c r="K11" s="47">
        <v>9</v>
      </c>
      <c r="L11" s="47">
        <v>12</v>
      </c>
      <c r="M11" s="47">
        <v>3</v>
      </c>
      <c r="N11" s="47">
        <v>12</v>
      </c>
      <c r="O11" s="47">
        <v>5</v>
      </c>
      <c r="P11" s="47">
        <v>1</v>
      </c>
      <c r="Q11" s="47">
        <v>1</v>
      </c>
      <c r="R11" s="47">
        <v>0</v>
      </c>
      <c r="S11" s="47">
        <v>0</v>
      </c>
    </row>
    <row r="12" spans="1:19" ht="78" customHeight="1">
      <c r="A12" s="124" t="s">
        <v>643</v>
      </c>
      <c r="B12" s="124" t="s">
        <v>30</v>
      </c>
      <c r="C12" s="138" t="s">
        <v>644</v>
      </c>
      <c r="D12" s="138" t="s">
        <v>645</v>
      </c>
      <c r="E12" s="126" t="s">
        <v>646</v>
      </c>
      <c r="F12" s="140" t="s">
        <v>647</v>
      </c>
      <c r="G12" s="138" t="s">
        <v>584</v>
      </c>
      <c r="H12" s="138" t="s">
        <v>585</v>
      </c>
      <c r="I12" s="138" t="s">
        <v>648</v>
      </c>
      <c r="J12" s="138" t="s">
        <v>649</v>
      </c>
      <c r="K12" s="47">
        <v>3</v>
      </c>
      <c r="L12" s="47"/>
      <c r="M12" s="47">
        <v>6</v>
      </c>
      <c r="N12" s="47">
        <v>24</v>
      </c>
      <c r="O12" s="47">
        <v>5</v>
      </c>
      <c r="P12" s="47">
        <v>0</v>
      </c>
      <c r="Q12" s="47">
        <v>0</v>
      </c>
      <c r="R12" s="47">
        <v>0</v>
      </c>
      <c r="S12" s="47">
        <v>0</v>
      </c>
    </row>
    <row r="13" spans="1:19" ht="81" customHeight="1">
      <c r="A13" s="124" t="s">
        <v>650</v>
      </c>
      <c r="B13" s="124" t="s">
        <v>32</v>
      </c>
      <c r="C13" s="138" t="s">
        <v>651</v>
      </c>
      <c r="D13" s="138" t="s">
        <v>581</v>
      </c>
      <c r="E13" s="126">
        <v>45755</v>
      </c>
      <c r="F13" s="140" t="s">
        <v>652</v>
      </c>
      <c r="G13" s="138" t="s">
        <v>600</v>
      </c>
      <c r="H13" s="138" t="s">
        <v>594</v>
      </c>
      <c r="I13" s="138"/>
      <c r="J13" s="138"/>
      <c r="K13" s="47">
        <v>4</v>
      </c>
      <c r="L13" s="47"/>
      <c r="M13" s="47">
        <v>1</v>
      </c>
      <c r="N13" s="47">
        <v>4</v>
      </c>
      <c r="O13" s="47"/>
      <c r="P13" s="47"/>
      <c r="Q13" s="47"/>
      <c r="R13" s="47"/>
      <c r="S13" s="47">
        <v>0</v>
      </c>
    </row>
    <row r="14" spans="1:19" ht="40.5">
      <c r="A14" s="124" t="s">
        <v>653</v>
      </c>
      <c r="B14" s="124" t="s">
        <v>34</v>
      </c>
      <c r="C14" s="138" t="s">
        <v>654</v>
      </c>
      <c r="D14" s="138" t="s">
        <v>581</v>
      </c>
      <c r="E14" s="126" t="s">
        <v>655</v>
      </c>
      <c r="F14" s="140" t="s">
        <v>656</v>
      </c>
      <c r="G14" s="138" t="s">
        <v>657</v>
      </c>
      <c r="H14" s="138" t="s">
        <v>658</v>
      </c>
      <c r="I14" s="138" t="s">
        <v>659</v>
      </c>
      <c r="J14" s="138"/>
      <c r="K14" s="47">
        <v>4</v>
      </c>
      <c r="L14" s="47">
        <v>6</v>
      </c>
      <c r="M14" s="47">
        <v>5</v>
      </c>
      <c r="N14" s="47">
        <v>20</v>
      </c>
      <c r="O14" s="47"/>
      <c r="P14" s="47"/>
      <c r="Q14" s="47"/>
      <c r="R14" s="47"/>
      <c r="S14" s="47"/>
    </row>
    <row r="15" spans="1:19" ht="96" customHeight="1">
      <c r="A15" s="124" t="s">
        <v>660</v>
      </c>
      <c r="B15" s="124" t="s">
        <v>34</v>
      </c>
      <c r="C15" s="138" t="s">
        <v>661</v>
      </c>
      <c r="D15" s="138" t="s">
        <v>645</v>
      </c>
      <c r="E15" s="126" t="s">
        <v>662</v>
      </c>
      <c r="F15" s="140" t="s">
        <v>663</v>
      </c>
      <c r="G15" s="138" t="s">
        <v>657</v>
      </c>
      <c r="H15" s="138" t="s">
        <v>658</v>
      </c>
      <c r="I15" s="138" t="s">
        <v>659</v>
      </c>
      <c r="J15" s="138" t="s">
        <v>649</v>
      </c>
      <c r="K15" s="47">
        <v>4</v>
      </c>
      <c r="L15" s="47"/>
      <c r="M15" s="47">
        <v>12</v>
      </c>
      <c r="N15" s="47">
        <f>M15*4</f>
        <v>48</v>
      </c>
      <c r="O15" s="47"/>
      <c r="P15" s="47"/>
      <c r="Q15" s="47"/>
      <c r="R15" s="47"/>
      <c r="S15" s="47">
        <v>0</v>
      </c>
    </row>
    <row r="16" spans="1:19" ht="27">
      <c r="A16" s="124" t="s">
        <v>664</v>
      </c>
      <c r="B16" s="151" t="s">
        <v>30</v>
      </c>
      <c r="C16" s="152" t="s">
        <v>665</v>
      </c>
      <c r="D16" s="152" t="s">
        <v>581</v>
      </c>
      <c r="E16" s="153" t="s">
        <v>666</v>
      </c>
      <c r="F16" s="154" t="s">
        <v>667</v>
      </c>
      <c r="G16" s="152" t="s">
        <v>584</v>
      </c>
      <c r="H16" s="152" t="s">
        <v>585</v>
      </c>
      <c r="I16" s="155" t="s">
        <v>659</v>
      </c>
      <c r="J16" s="155" t="s">
        <v>649</v>
      </c>
      <c r="K16" s="47">
        <v>4</v>
      </c>
      <c r="L16" s="47"/>
      <c r="M16" s="47">
        <v>3</v>
      </c>
      <c r="N16" s="47">
        <v>12</v>
      </c>
      <c r="O16" s="47">
        <v>6</v>
      </c>
      <c r="P16" s="47"/>
      <c r="Q16" s="47">
        <v>1</v>
      </c>
      <c r="R16" s="47"/>
      <c r="S16" s="47"/>
    </row>
    <row r="17" spans="1:20" ht="109.5" customHeight="1">
      <c r="A17" s="124" t="s">
        <v>668</v>
      </c>
      <c r="B17" s="124" t="s">
        <v>32</v>
      </c>
      <c r="C17" s="138" t="s">
        <v>669</v>
      </c>
      <c r="D17" s="138" t="s">
        <v>590</v>
      </c>
      <c r="E17" s="126" t="s">
        <v>670</v>
      </c>
      <c r="F17" s="140" t="s">
        <v>671</v>
      </c>
      <c r="G17" s="138" t="s">
        <v>600</v>
      </c>
      <c r="H17" s="138" t="s">
        <v>658</v>
      </c>
      <c r="I17" s="141" t="s">
        <v>672</v>
      </c>
      <c r="J17" s="138" t="s">
        <v>649</v>
      </c>
      <c r="K17" s="47">
        <v>3</v>
      </c>
      <c r="L17" s="47">
        <v>8</v>
      </c>
      <c r="M17" s="47">
        <v>2</v>
      </c>
      <c r="N17" s="47">
        <v>8</v>
      </c>
      <c r="O17" s="47">
        <v>5</v>
      </c>
      <c r="P17" s="47">
        <v>0</v>
      </c>
      <c r="Q17" s="47">
        <v>0</v>
      </c>
      <c r="R17" s="47">
        <v>0</v>
      </c>
      <c r="S17" s="47">
        <v>0</v>
      </c>
    </row>
    <row r="18" spans="1:20" ht="105.75" customHeight="1">
      <c r="A18" s="147" t="s">
        <v>673</v>
      </c>
      <c r="B18" s="147" t="s">
        <v>32</v>
      </c>
      <c r="C18" s="155" t="s">
        <v>674</v>
      </c>
      <c r="D18" s="155" t="s">
        <v>581</v>
      </c>
      <c r="E18" s="156" t="s">
        <v>675</v>
      </c>
      <c r="F18" s="157" t="s">
        <v>671</v>
      </c>
      <c r="G18" s="155" t="s">
        <v>600</v>
      </c>
      <c r="H18" s="155" t="s">
        <v>658</v>
      </c>
      <c r="I18" s="158" t="s">
        <v>676</v>
      </c>
      <c r="J18" s="155" t="s">
        <v>649</v>
      </c>
      <c r="K18" s="47">
        <v>4</v>
      </c>
      <c r="L18" s="47">
        <v>8</v>
      </c>
      <c r="M18" s="47">
        <v>13</v>
      </c>
      <c r="N18" s="47">
        <f>M18*4</f>
        <v>52</v>
      </c>
      <c r="O18" s="47">
        <v>5</v>
      </c>
      <c r="P18" s="47">
        <v>0</v>
      </c>
      <c r="Q18" s="47">
        <v>0</v>
      </c>
      <c r="R18" s="47">
        <v>0</v>
      </c>
      <c r="S18" s="47">
        <v>0</v>
      </c>
    </row>
    <row r="19" spans="1:20" ht="67.5">
      <c r="A19" s="147" t="s">
        <v>677</v>
      </c>
      <c r="B19" s="151" t="s">
        <v>48</v>
      </c>
      <c r="C19" s="152" t="s">
        <v>678</v>
      </c>
      <c r="D19" s="152" t="s">
        <v>590</v>
      </c>
      <c r="E19" s="153" t="s">
        <v>679</v>
      </c>
      <c r="F19" s="154" t="s">
        <v>680</v>
      </c>
      <c r="G19" s="152" t="s">
        <v>681</v>
      </c>
      <c r="H19" s="152" t="s">
        <v>682</v>
      </c>
      <c r="I19" s="152" t="s">
        <v>683</v>
      </c>
      <c r="J19" s="152" t="s">
        <v>684</v>
      </c>
      <c r="K19" s="159">
        <v>3</v>
      </c>
      <c r="L19" s="159">
        <v>11</v>
      </c>
      <c r="M19" s="159">
        <v>2</v>
      </c>
      <c r="N19" s="159">
        <v>8</v>
      </c>
      <c r="O19" s="159">
        <v>4</v>
      </c>
      <c r="P19" s="159"/>
      <c r="Q19" s="159"/>
      <c r="R19" s="159"/>
      <c r="S19" s="159"/>
      <c r="T19" s="1"/>
    </row>
    <row r="20" spans="1:20" ht="45.75">
      <c r="A20" s="124" t="s">
        <v>685</v>
      </c>
      <c r="B20" s="124" t="s">
        <v>34</v>
      </c>
      <c r="C20" s="33" t="s">
        <v>686</v>
      </c>
      <c r="D20" s="125" t="s">
        <v>581</v>
      </c>
      <c r="E20" s="126" t="s">
        <v>687</v>
      </c>
      <c r="F20" s="49" t="s">
        <v>688</v>
      </c>
      <c r="G20" s="48" t="s">
        <v>657</v>
      </c>
      <c r="H20" s="48" t="s">
        <v>594</v>
      </c>
      <c r="I20" s="48" t="s">
        <v>689</v>
      </c>
      <c r="J20" s="48"/>
      <c r="K20" s="47">
        <v>3</v>
      </c>
      <c r="L20" s="47">
        <v>7</v>
      </c>
      <c r="M20" s="47">
        <v>3</v>
      </c>
      <c r="N20" s="47">
        <v>12</v>
      </c>
      <c r="O20" s="47">
        <v>3</v>
      </c>
      <c r="P20" s="47"/>
      <c r="Q20" s="47">
        <v>1</v>
      </c>
      <c r="R20" s="47">
        <v>0</v>
      </c>
      <c r="S20" s="47"/>
    </row>
    <row r="21" spans="1:20" ht="30.75">
      <c r="A21" s="47" t="s">
        <v>690</v>
      </c>
      <c r="B21" s="47" t="s">
        <v>36</v>
      </c>
      <c r="C21" s="33" t="s">
        <v>691</v>
      </c>
      <c r="D21" s="48" t="s">
        <v>581</v>
      </c>
      <c r="E21" s="5">
        <v>46010</v>
      </c>
      <c r="F21" s="49" t="s">
        <v>692</v>
      </c>
      <c r="G21" s="48" t="s">
        <v>616</v>
      </c>
      <c r="H21" s="48" t="s">
        <v>623</v>
      </c>
      <c r="I21" s="48"/>
      <c r="J21" s="48"/>
      <c r="K21" s="47">
        <v>3</v>
      </c>
      <c r="L21" s="47">
        <v>5</v>
      </c>
      <c r="M21" s="47">
        <v>1</v>
      </c>
      <c r="N21" s="47">
        <v>4</v>
      </c>
      <c r="O21" s="47">
        <v>1</v>
      </c>
      <c r="P21" s="47">
        <v>0</v>
      </c>
      <c r="Q21" s="47">
        <v>0</v>
      </c>
      <c r="R21" s="47">
        <v>0</v>
      </c>
      <c r="S21" s="47">
        <v>0</v>
      </c>
    </row>
    <row r="22" spans="1:20" ht="30.75">
      <c r="A22" s="124" t="s">
        <v>693</v>
      </c>
      <c r="B22" s="47" t="s">
        <v>46</v>
      </c>
      <c r="C22" s="33" t="s">
        <v>694</v>
      </c>
      <c r="D22" s="48" t="s">
        <v>581</v>
      </c>
      <c r="E22" s="5">
        <v>46091</v>
      </c>
      <c r="F22" s="49" t="s">
        <v>695</v>
      </c>
      <c r="G22" s="48" t="s">
        <v>696</v>
      </c>
      <c r="H22" s="155" t="s">
        <v>658</v>
      </c>
      <c r="I22" s="155"/>
      <c r="J22" s="48"/>
      <c r="K22" s="47">
        <v>2</v>
      </c>
      <c r="L22" s="47">
        <v>5</v>
      </c>
      <c r="M22" s="47">
        <v>1</v>
      </c>
      <c r="N22" s="47">
        <v>3</v>
      </c>
      <c r="O22" s="47">
        <v>2</v>
      </c>
      <c r="P22" s="47">
        <v>1</v>
      </c>
      <c r="Q22" s="47">
        <v>1</v>
      </c>
      <c r="R22" s="47">
        <v>0</v>
      </c>
      <c r="S22" s="47">
        <v>0</v>
      </c>
    </row>
    <row r="23" spans="1:20">
      <c r="A23" s="47" t="s">
        <v>697</v>
      </c>
      <c r="B23" s="47" t="s">
        <v>60</v>
      </c>
      <c r="C23" s="49" t="s">
        <v>698</v>
      </c>
      <c r="D23" s="48" t="s">
        <v>590</v>
      </c>
      <c r="E23" s="5">
        <v>46127</v>
      </c>
      <c r="F23" s="49" t="s">
        <v>698</v>
      </c>
      <c r="G23" s="48" t="s">
        <v>291</v>
      </c>
      <c r="H23" s="155" t="s">
        <v>699</v>
      </c>
      <c r="I23" s="155"/>
      <c r="J23" s="48"/>
      <c r="K23" s="47">
        <v>1</v>
      </c>
      <c r="L23" s="47">
        <v>200</v>
      </c>
      <c r="M23" s="47">
        <v>1</v>
      </c>
      <c r="N23" s="47">
        <v>1</v>
      </c>
      <c r="O23" s="47">
        <v>1</v>
      </c>
      <c r="P23" s="47">
        <v>0</v>
      </c>
      <c r="Q23" s="47">
        <v>0</v>
      </c>
      <c r="R23" s="47">
        <v>0</v>
      </c>
      <c r="S23" s="47">
        <v>0</v>
      </c>
    </row>
    <row r="24" spans="1:20" ht="30.75">
      <c r="A24" s="124" t="s">
        <v>700</v>
      </c>
      <c r="B24" s="47" t="s">
        <v>34</v>
      </c>
      <c r="C24" s="33" t="s">
        <v>701</v>
      </c>
      <c r="D24" s="48" t="s">
        <v>581</v>
      </c>
      <c r="E24" s="5">
        <v>46136</v>
      </c>
      <c r="F24" s="49" t="s">
        <v>702</v>
      </c>
      <c r="G24" s="48" t="s">
        <v>657</v>
      </c>
      <c r="H24" s="155" t="s">
        <v>658</v>
      </c>
      <c r="I24" s="155" t="s">
        <v>659</v>
      </c>
      <c r="J24" s="48"/>
      <c r="K24" s="47">
        <v>2</v>
      </c>
      <c r="L24" s="47">
        <v>5</v>
      </c>
      <c r="M24" s="47">
        <v>1</v>
      </c>
      <c r="N24" s="47">
        <v>3</v>
      </c>
      <c r="O24" s="47">
        <v>2</v>
      </c>
      <c r="P24" s="47">
        <v>1</v>
      </c>
      <c r="Q24" s="47">
        <v>1</v>
      </c>
      <c r="R24" s="47">
        <v>0</v>
      </c>
      <c r="S24" s="47">
        <v>0</v>
      </c>
    </row>
    <row r="25" spans="1:20" ht="30.75">
      <c r="A25" s="47" t="s">
        <v>703</v>
      </c>
      <c r="B25" s="47" t="s">
        <v>34</v>
      </c>
      <c r="C25" s="33" t="s">
        <v>704</v>
      </c>
      <c r="D25" s="48" t="s">
        <v>581</v>
      </c>
      <c r="E25" s="5">
        <v>46139</v>
      </c>
      <c r="F25" s="49" t="s">
        <v>705</v>
      </c>
      <c r="G25" s="48" t="s">
        <v>593</v>
      </c>
      <c r="H25" s="48" t="s">
        <v>706</v>
      </c>
      <c r="I25" s="48"/>
      <c r="J25" s="48"/>
      <c r="K25" s="47">
        <v>2</v>
      </c>
      <c r="L25" s="47">
        <v>7</v>
      </c>
      <c r="M25" s="47">
        <v>1</v>
      </c>
      <c r="N25" s="47">
        <v>4</v>
      </c>
      <c r="O25" s="47">
        <v>5</v>
      </c>
      <c r="P25" s="47">
        <v>0</v>
      </c>
      <c r="Q25" s="47">
        <v>0</v>
      </c>
      <c r="R25" s="47">
        <v>6</v>
      </c>
      <c r="S25" s="47">
        <v>0</v>
      </c>
    </row>
    <row r="26" spans="1:20" ht="30.75">
      <c r="A26" s="124" t="s">
        <v>707</v>
      </c>
      <c r="B26" s="47" t="s">
        <v>34</v>
      </c>
      <c r="C26" s="33" t="s">
        <v>708</v>
      </c>
      <c r="D26" s="48" t="s">
        <v>581</v>
      </c>
      <c r="E26" s="5">
        <v>46139</v>
      </c>
      <c r="F26" s="49" t="s">
        <v>709</v>
      </c>
      <c r="G26" s="48" t="s">
        <v>593</v>
      </c>
      <c r="H26" s="48" t="s">
        <v>706</v>
      </c>
      <c r="I26" s="48"/>
      <c r="J26" s="48"/>
      <c r="K26" s="47">
        <v>2</v>
      </c>
      <c r="L26" s="47">
        <v>5</v>
      </c>
      <c r="M26" s="47">
        <v>1</v>
      </c>
      <c r="N26" s="47">
        <v>3</v>
      </c>
      <c r="O26" s="47">
        <v>4</v>
      </c>
      <c r="P26" s="47">
        <v>1</v>
      </c>
      <c r="Q26" s="47">
        <v>1</v>
      </c>
      <c r="R26" s="47">
        <v>1</v>
      </c>
      <c r="S26" s="47">
        <v>0</v>
      </c>
    </row>
    <row r="27" spans="1:20" ht="30.75">
      <c r="A27" s="47" t="s">
        <v>710</v>
      </c>
      <c r="B27" s="47" t="s">
        <v>34</v>
      </c>
      <c r="C27" s="33" t="s">
        <v>701</v>
      </c>
      <c r="D27" s="48" t="s">
        <v>581</v>
      </c>
      <c r="E27" s="5">
        <v>46171</v>
      </c>
      <c r="F27" s="49" t="s">
        <v>702</v>
      </c>
      <c r="G27" s="48" t="s">
        <v>657</v>
      </c>
      <c r="H27" s="155" t="s">
        <v>658</v>
      </c>
      <c r="I27" s="155" t="s">
        <v>659</v>
      </c>
      <c r="J27" s="48"/>
      <c r="K27" s="47">
        <v>2</v>
      </c>
      <c r="L27" s="47">
        <v>5</v>
      </c>
      <c r="M27" s="47">
        <v>1</v>
      </c>
      <c r="N27" s="47">
        <v>3</v>
      </c>
      <c r="O27" s="47">
        <v>2</v>
      </c>
      <c r="P27" s="47">
        <v>1</v>
      </c>
      <c r="Q27" s="47">
        <v>1</v>
      </c>
      <c r="R27" s="47">
        <v>0</v>
      </c>
      <c r="S27" s="47">
        <v>0</v>
      </c>
    </row>
    <row r="28" spans="1:20">
      <c r="A28" s="164" t="s">
        <v>711</v>
      </c>
      <c r="B28" s="159" t="s">
        <v>62</v>
      </c>
      <c r="C28" s="165" t="s">
        <v>712</v>
      </c>
      <c r="D28" s="166" t="s">
        <v>581</v>
      </c>
      <c r="E28" s="167">
        <v>46184</v>
      </c>
      <c r="F28" s="165" t="s">
        <v>712</v>
      </c>
      <c r="G28" s="166" t="s">
        <v>713</v>
      </c>
      <c r="H28" s="152" t="s">
        <v>658</v>
      </c>
      <c r="I28" s="152"/>
      <c r="J28" s="166"/>
      <c r="K28" s="159">
        <v>2</v>
      </c>
      <c r="L28" s="159">
        <v>5</v>
      </c>
      <c r="M28" s="159">
        <v>1</v>
      </c>
      <c r="N28" s="159">
        <v>3</v>
      </c>
      <c r="O28" s="159">
        <v>2</v>
      </c>
      <c r="P28" s="159">
        <v>1</v>
      </c>
      <c r="Q28" s="159">
        <v>1</v>
      </c>
      <c r="R28" s="159">
        <v>0</v>
      </c>
      <c r="S28" s="159">
        <v>0</v>
      </c>
    </row>
    <row r="29" spans="1:20" s="6" customFormat="1" ht="45.75">
      <c r="A29" s="47" t="s">
        <v>714</v>
      </c>
      <c r="B29" s="47" t="s">
        <v>28</v>
      </c>
      <c r="C29" s="49" t="s">
        <v>715</v>
      </c>
      <c r="D29" s="48" t="s">
        <v>590</v>
      </c>
      <c r="E29" s="5">
        <v>46195</v>
      </c>
      <c r="F29" s="49" t="s">
        <v>715</v>
      </c>
      <c r="G29" s="48" t="s">
        <v>291</v>
      </c>
      <c r="H29" s="155" t="s">
        <v>716</v>
      </c>
      <c r="I29" s="155"/>
      <c r="J29" s="48"/>
      <c r="K29" s="47">
        <v>8</v>
      </c>
      <c r="L29" s="47">
        <v>11</v>
      </c>
      <c r="M29" s="47">
        <v>1</v>
      </c>
      <c r="N29" s="47">
        <v>4</v>
      </c>
      <c r="O29" s="47">
        <v>1</v>
      </c>
      <c r="P29" s="47">
        <v>1</v>
      </c>
      <c r="Q29" s="47">
        <v>0</v>
      </c>
      <c r="R29" s="47">
        <v>0</v>
      </c>
      <c r="S29" s="47">
        <v>0</v>
      </c>
    </row>
    <row r="30" spans="1:20" s="6" customFormat="1" ht="30.75">
      <c r="A30" s="124" t="s">
        <v>717</v>
      </c>
      <c r="B30" s="47" t="s">
        <v>34</v>
      </c>
      <c r="C30" s="33" t="s">
        <v>701</v>
      </c>
      <c r="D30" s="48" t="s">
        <v>581</v>
      </c>
      <c r="E30" s="5">
        <v>46204</v>
      </c>
      <c r="F30" s="49" t="s">
        <v>702</v>
      </c>
      <c r="G30" s="48" t="s">
        <v>657</v>
      </c>
      <c r="H30" s="155" t="s">
        <v>658</v>
      </c>
      <c r="I30" s="155" t="s">
        <v>659</v>
      </c>
      <c r="J30" s="48"/>
      <c r="K30" s="47">
        <v>2</v>
      </c>
      <c r="L30" s="47">
        <v>5</v>
      </c>
      <c r="M30" s="47">
        <v>1</v>
      </c>
      <c r="N30" s="47">
        <v>3</v>
      </c>
      <c r="O30" s="47">
        <v>2</v>
      </c>
      <c r="P30" s="47">
        <v>1</v>
      </c>
      <c r="Q30" s="47">
        <v>1</v>
      </c>
      <c r="R30" s="47">
        <v>0</v>
      </c>
      <c r="S30" s="47">
        <v>0</v>
      </c>
    </row>
    <row r="31" spans="1:20" s="6" customFormat="1">
      <c r="A31" s="47"/>
      <c r="B31" s="47"/>
      <c r="C31" s="33"/>
      <c r="D31" s="48"/>
      <c r="E31" s="5"/>
      <c r="F31" s="49"/>
      <c r="G31" s="48"/>
      <c r="H31" s="48"/>
      <c r="I31" s="48"/>
      <c r="J31" s="48"/>
      <c r="K31" s="47"/>
      <c r="L31" s="47"/>
      <c r="M31" s="47"/>
      <c r="N31" s="47"/>
      <c r="O31" s="47"/>
      <c r="P31" s="47"/>
      <c r="Q31" s="47"/>
      <c r="R31" s="47"/>
      <c r="S31" s="47"/>
    </row>
    <row r="32" spans="1:20" s="6" customFormat="1">
      <c r="A32" s="47"/>
      <c r="B32" s="47"/>
      <c r="C32" s="33"/>
      <c r="D32" s="48"/>
      <c r="E32" s="5"/>
      <c r="F32" s="49"/>
      <c r="G32" s="48"/>
      <c r="H32" s="48"/>
      <c r="I32" s="48"/>
      <c r="J32" s="48"/>
      <c r="K32" s="47"/>
      <c r="L32" s="47"/>
      <c r="M32" s="47"/>
      <c r="N32" s="47"/>
      <c r="O32" s="47"/>
      <c r="P32" s="47"/>
      <c r="Q32" s="47"/>
      <c r="R32" s="47"/>
      <c r="S32" s="47"/>
    </row>
    <row r="33" spans="1:19" s="6" customFormat="1">
      <c r="A33" s="47"/>
      <c r="B33" s="47"/>
      <c r="C33" s="33"/>
      <c r="D33" s="48"/>
      <c r="E33" s="5"/>
      <c r="F33" s="49"/>
      <c r="G33" s="48"/>
      <c r="H33" s="48"/>
      <c r="I33" s="48"/>
      <c r="J33" s="48"/>
      <c r="K33" s="47"/>
      <c r="L33" s="47"/>
      <c r="M33" s="47"/>
      <c r="N33" s="47"/>
      <c r="O33" s="47"/>
      <c r="P33" s="47"/>
      <c r="Q33" s="47"/>
      <c r="R33" s="47"/>
      <c r="S33" s="47"/>
    </row>
    <row r="34" spans="1:19" s="6" customFormat="1">
      <c r="A34" s="47"/>
      <c r="B34" s="47"/>
      <c r="C34" s="33"/>
      <c r="D34" s="48"/>
      <c r="E34" s="5"/>
      <c r="F34" s="49"/>
      <c r="G34" s="48"/>
      <c r="H34" s="48"/>
      <c r="I34" s="48"/>
      <c r="J34" s="48"/>
      <c r="K34" s="47"/>
      <c r="L34" s="47"/>
      <c r="M34" s="47"/>
      <c r="N34" s="47"/>
      <c r="O34" s="47"/>
      <c r="P34" s="47"/>
      <c r="Q34" s="47"/>
      <c r="R34" s="47"/>
      <c r="S34" s="47"/>
    </row>
    <row r="35" spans="1:19" s="6" customFormat="1">
      <c r="A35" s="47"/>
      <c r="B35" s="47"/>
      <c r="C35" s="33"/>
      <c r="D35" s="48"/>
      <c r="E35" s="5"/>
      <c r="F35" s="49"/>
      <c r="G35" s="48"/>
      <c r="H35" s="48"/>
      <c r="I35" s="48"/>
      <c r="J35" s="48"/>
      <c r="K35" s="47"/>
      <c r="L35" s="47"/>
      <c r="M35" s="47"/>
      <c r="N35" s="47"/>
      <c r="O35" s="47"/>
      <c r="P35" s="47"/>
      <c r="Q35" s="47"/>
      <c r="R35" s="47"/>
      <c r="S35" s="47"/>
    </row>
    <row r="36" spans="1:19" s="6" customFormat="1">
      <c r="A36" s="47"/>
      <c r="B36" s="47"/>
      <c r="C36" s="33"/>
      <c r="D36" s="48"/>
      <c r="E36" s="5"/>
      <c r="F36" s="49"/>
      <c r="G36" s="48"/>
      <c r="H36" s="48"/>
      <c r="I36" s="48"/>
      <c r="J36" s="48"/>
      <c r="K36" s="47"/>
      <c r="L36" s="47"/>
      <c r="M36" s="47"/>
      <c r="N36" s="47"/>
      <c r="O36" s="47"/>
      <c r="P36" s="47"/>
      <c r="Q36" s="47"/>
      <c r="R36" s="47"/>
      <c r="S36" s="47"/>
    </row>
    <row r="37" spans="1:19" s="6" customFormat="1">
      <c r="A37" s="47"/>
      <c r="B37" s="47"/>
      <c r="C37" s="33"/>
      <c r="D37" s="48"/>
      <c r="E37" s="5"/>
      <c r="F37" s="49"/>
      <c r="G37" s="48"/>
      <c r="H37" s="48"/>
      <c r="I37" s="48"/>
      <c r="J37" s="48"/>
      <c r="K37" s="47"/>
      <c r="L37" s="47"/>
      <c r="M37" s="47"/>
      <c r="N37" s="47"/>
      <c r="O37" s="47"/>
      <c r="P37" s="47"/>
      <c r="Q37" s="47"/>
      <c r="R37" s="47"/>
      <c r="S37" s="47"/>
    </row>
    <row r="38" spans="1:19" s="6" customFormat="1">
      <c r="A38" s="47"/>
      <c r="B38" s="47"/>
      <c r="C38" s="33"/>
      <c r="D38" s="48"/>
      <c r="E38" s="5"/>
      <c r="F38" s="49"/>
      <c r="G38" s="48"/>
      <c r="H38" s="48"/>
      <c r="I38" s="48"/>
      <c r="J38" s="48"/>
      <c r="K38" s="47"/>
      <c r="L38" s="47"/>
      <c r="M38" s="47"/>
      <c r="N38" s="47"/>
      <c r="O38" s="47"/>
      <c r="P38" s="47"/>
      <c r="Q38" s="47"/>
      <c r="R38" s="47"/>
      <c r="S38" s="47"/>
    </row>
    <row r="39" spans="1:19">
      <c r="A39" s="168"/>
      <c r="B39" s="168"/>
      <c r="C39" s="169"/>
      <c r="D39" s="170"/>
      <c r="E39" s="171"/>
      <c r="F39" s="172"/>
      <c r="G39" s="170"/>
      <c r="H39" s="170"/>
      <c r="I39" s="170"/>
      <c r="J39" s="170"/>
      <c r="K39" s="168"/>
      <c r="L39" s="168"/>
      <c r="M39" s="168"/>
      <c r="N39" s="168"/>
      <c r="O39" s="168"/>
      <c r="P39" s="168"/>
      <c r="Q39" s="168"/>
      <c r="R39" s="168"/>
      <c r="S39" s="168"/>
    </row>
    <row r="40" spans="1:19">
      <c r="A40" s="47"/>
      <c r="B40" s="47"/>
      <c r="C40" s="33"/>
      <c r="D40" s="48"/>
      <c r="E40" s="5"/>
      <c r="F40" s="49"/>
      <c r="G40" s="48"/>
      <c r="H40" s="48"/>
      <c r="I40" s="48"/>
      <c r="J40" s="48"/>
      <c r="K40" s="47"/>
      <c r="L40" s="47"/>
      <c r="M40" s="47"/>
      <c r="N40" s="47"/>
      <c r="O40" s="47"/>
      <c r="P40" s="47"/>
      <c r="Q40" s="47"/>
      <c r="R40" s="47"/>
      <c r="S40" s="47"/>
    </row>
    <row r="41" spans="1:19">
      <c r="A41" s="47"/>
      <c r="B41" s="47"/>
      <c r="C41" s="33"/>
      <c r="D41" s="48"/>
      <c r="E41" s="5"/>
      <c r="F41" s="49"/>
      <c r="G41" s="48"/>
      <c r="H41" s="48"/>
      <c r="I41" s="48"/>
      <c r="J41" s="48"/>
      <c r="K41" s="47"/>
      <c r="L41" s="47"/>
      <c r="M41" s="47"/>
      <c r="N41" s="47"/>
      <c r="O41" s="47"/>
      <c r="P41" s="47"/>
      <c r="Q41" s="47"/>
      <c r="R41" s="47"/>
      <c r="S41" s="47"/>
    </row>
    <row r="42" spans="1:19">
      <c r="A42" s="47"/>
      <c r="B42" s="47"/>
      <c r="C42" s="33"/>
      <c r="D42" s="48"/>
      <c r="E42" s="5"/>
      <c r="F42" s="49"/>
      <c r="G42" s="48"/>
      <c r="H42" s="48"/>
      <c r="I42" s="48"/>
      <c r="J42" s="48"/>
      <c r="K42" s="47"/>
      <c r="L42" s="47"/>
      <c r="M42" s="47"/>
      <c r="N42" s="47"/>
      <c r="O42" s="47"/>
      <c r="P42" s="47"/>
      <c r="Q42" s="47"/>
      <c r="R42" s="47"/>
      <c r="S42" s="47"/>
    </row>
    <row r="43" spans="1:19">
      <c r="A43" s="47"/>
      <c r="B43" s="47"/>
      <c r="C43" s="33"/>
      <c r="D43" s="48"/>
      <c r="E43" s="5"/>
      <c r="F43" s="49"/>
      <c r="G43" s="48"/>
      <c r="H43" s="48"/>
      <c r="I43" s="48"/>
      <c r="J43" s="48"/>
      <c r="K43" s="47"/>
      <c r="L43" s="47"/>
      <c r="M43" s="47"/>
      <c r="N43" s="47"/>
      <c r="O43" s="47"/>
      <c r="P43" s="47"/>
      <c r="Q43" s="47"/>
      <c r="R43" s="47"/>
      <c r="S43" s="47"/>
    </row>
    <row r="44" spans="1:19">
      <c r="A44" s="47"/>
      <c r="B44" s="47"/>
      <c r="C44" s="33"/>
      <c r="D44" s="48"/>
      <c r="E44" s="5"/>
      <c r="F44" s="49"/>
      <c r="G44" s="48"/>
      <c r="H44" s="48"/>
      <c r="I44" s="48"/>
      <c r="J44" s="48"/>
      <c r="K44" s="47"/>
      <c r="L44" s="47"/>
      <c r="M44" s="47"/>
      <c r="N44" s="47"/>
      <c r="O44" s="47"/>
      <c r="P44" s="47"/>
      <c r="Q44" s="47"/>
      <c r="R44" s="47"/>
      <c r="S44" s="47"/>
    </row>
    <row r="45" spans="1:19">
      <c r="A45" s="47"/>
      <c r="B45" s="47"/>
      <c r="C45" s="33"/>
      <c r="D45" s="48"/>
      <c r="E45" s="5"/>
      <c r="F45" s="49"/>
      <c r="G45" s="48"/>
      <c r="H45" s="48"/>
      <c r="I45" s="48"/>
      <c r="J45" s="48"/>
      <c r="K45" s="47"/>
      <c r="L45" s="47"/>
      <c r="M45" s="47"/>
      <c r="N45" s="47"/>
      <c r="O45" s="47"/>
      <c r="P45" s="47"/>
      <c r="Q45" s="47"/>
      <c r="R45" s="47"/>
      <c r="S45" s="47"/>
    </row>
    <row r="46" spans="1:19">
      <c r="A46" s="47"/>
      <c r="B46" s="47"/>
      <c r="C46" s="33"/>
      <c r="D46" s="48"/>
      <c r="E46" s="5"/>
      <c r="F46" s="49"/>
      <c r="G46" s="48"/>
      <c r="H46" s="48"/>
      <c r="I46" s="48"/>
      <c r="J46" s="48"/>
      <c r="K46" s="47"/>
      <c r="L46" s="47"/>
      <c r="M46" s="47"/>
      <c r="N46" s="47"/>
      <c r="O46" s="47"/>
      <c r="P46" s="47"/>
      <c r="Q46" s="47"/>
      <c r="R46" s="47"/>
      <c r="S46" s="47"/>
    </row>
    <row r="47" spans="1:19">
      <c r="A47" s="47"/>
      <c r="B47" s="47"/>
      <c r="C47" s="33"/>
      <c r="D47" s="48"/>
      <c r="E47" s="5"/>
      <c r="F47" s="49"/>
      <c r="G47" s="48"/>
      <c r="H47" s="48"/>
      <c r="I47" s="48"/>
      <c r="J47" s="48"/>
      <c r="K47" s="47"/>
      <c r="L47" s="47"/>
      <c r="M47" s="47"/>
      <c r="N47" s="47"/>
      <c r="O47" s="47"/>
      <c r="P47" s="47"/>
      <c r="Q47" s="47"/>
      <c r="R47" s="47"/>
      <c r="S47" s="47"/>
    </row>
    <row r="48" spans="1:19">
      <c r="A48" s="47"/>
      <c r="B48" s="47"/>
      <c r="C48" s="33"/>
      <c r="D48" s="48"/>
      <c r="E48" s="5"/>
      <c r="F48" s="49"/>
      <c r="G48" s="48"/>
      <c r="H48" s="48"/>
      <c r="I48" s="48"/>
      <c r="J48" s="48"/>
      <c r="K48" s="47"/>
      <c r="L48" s="47"/>
      <c r="M48" s="47"/>
      <c r="N48" s="47"/>
      <c r="O48" s="47"/>
      <c r="P48" s="47"/>
      <c r="Q48" s="47"/>
      <c r="R48" s="47"/>
      <c r="S48" s="47"/>
    </row>
    <row r="49" spans="1:19">
      <c r="A49" s="47"/>
      <c r="B49" s="47"/>
      <c r="C49" s="33"/>
      <c r="D49" s="48"/>
      <c r="E49" s="5"/>
      <c r="F49" s="49"/>
      <c r="G49" s="48"/>
      <c r="H49" s="48"/>
      <c r="I49" s="48"/>
      <c r="J49" s="48"/>
      <c r="K49" s="47"/>
      <c r="L49" s="47"/>
      <c r="M49" s="47"/>
      <c r="N49" s="47"/>
      <c r="O49" s="47"/>
      <c r="P49" s="47"/>
      <c r="Q49" s="47"/>
      <c r="R49" s="47"/>
      <c r="S49" s="47"/>
    </row>
    <row r="50" spans="1:19">
      <c r="A50" s="47"/>
      <c r="B50" s="47"/>
      <c r="C50" s="33"/>
      <c r="D50" s="48"/>
      <c r="E50" s="5"/>
      <c r="F50" s="49"/>
      <c r="G50" s="48"/>
      <c r="H50" s="48"/>
      <c r="I50" s="48"/>
      <c r="J50" s="48"/>
      <c r="K50" s="47"/>
      <c r="L50" s="47"/>
      <c r="M50" s="47"/>
      <c r="N50" s="47"/>
      <c r="O50" s="47"/>
      <c r="P50" s="47"/>
      <c r="Q50" s="47"/>
      <c r="R50" s="47"/>
      <c r="S50" s="47"/>
    </row>
    <row r="51" spans="1:19">
      <c r="A51" s="47"/>
      <c r="B51" s="47"/>
      <c r="C51" s="33"/>
      <c r="D51" s="48"/>
      <c r="E51" s="5"/>
      <c r="F51" s="49"/>
      <c r="G51" s="48"/>
      <c r="H51" s="48"/>
      <c r="I51" s="48"/>
      <c r="J51" s="48"/>
      <c r="K51" s="47"/>
      <c r="L51" s="47"/>
      <c r="M51" s="47"/>
      <c r="N51" s="47"/>
      <c r="O51" s="47"/>
      <c r="P51" s="47"/>
      <c r="Q51" s="47"/>
      <c r="R51" s="47"/>
      <c r="S51" s="47"/>
    </row>
    <row r="52" spans="1:19">
      <c r="A52" s="47"/>
      <c r="B52" s="47"/>
      <c r="C52" s="33"/>
      <c r="D52" s="48"/>
      <c r="E52" s="5"/>
      <c r="F52" s="49"/>
      <c r="G52" s="48"/>
      <c r="H52" s="48"/>
      <c r="I52" s="48"/>
      <c r="J52" s="48"/>
      <c r="K52" s="47"/>
      <c r="L52" s="47"/>
      <c r="M52" s="47"/>
      <c r="N52" s="47"/>
      <c r="O52" s="47"/>
      <c r="P52" s="47"/>
      <c r="Q52" s="47"/>
      <c r="R52" s="47"/>
      <c r="S52" s="47"/>
    </row>
    <row r="53" spans="1:19">
      <c r="A53" s="47"/>
      <c r="B53" s="47"/>
      <c r="C53" s="33"/>
      <c r="D53" s="48"/>
      <c r="E53" s="5"/>
      <c r="F53" s="49"/>
      <c r="G53" s="48"/>
      <c r="H53" s="48"/>
      <c r="I53" s="48"/>
      <c r="J53" s="48"/>
      <c r="K53" s="47"/>
      <c r="L53" s="47"/>
      <c r="M53" s="47"/>
      <c r="N53" s="47"/>
      <c r="O53" s="47"/>
      <c r="P53" s="47"/>
      <c r="Q53" s="47"/>
      <c r="R53" s="47"/>
      <c r="S53" s="47"/>
    </row>
    <row r="54" spans="1:19">
      <c r="A54" s="47"/>
      <c r="B54" s="47"/>
      <c r="C54" s="33"/>
      <c r="D54" s="48"/>
      <c r="E54" s="5"/>
      <c r="F54" s="49"/>
      <c r="G54" s="48"/>
      <c r="H54" s="48"/>
      <c r="I54" s="48"/>
      <c r="J54" s="48"/>
      <c r="K54" s="47"/>
      <c r="L54" s="47"/>
      <c r="M54" s="47"/>
      <c r="N54" s="47"/>
      <c r="O54" s="47"/>
      <c r="P54" s="47"/>
      <c r="Q54" s="47"/>
      <c r="R54" s="47"/>
      <c r="S54" s="47"/>
    </row>
    <row r="55" spans="1:19">
      <c r="A55" s="47"/>
      <c r="B55" s="47"/>
      <c r="C55" s="33"/>
      <c r="D55" s="48"/>
      <c r="E55" s="5"/>
      <c r="F55" s="49"/>
      <c r="G55" s="48"/>
      <c r="H55" s="48"/>
      <c r="I55" s="48"/>
      <c r="J55" s="48"/>
      <c r="K55" s="47"/>
      <c r="L55" s="47"/>
      <c r="M55" s="47"/>
      <c r="N55" s="47"/>
      <c r="O55" s="47"/>
      <c r="P55" s="47"/>
      <c r="Q55" s="47"/>
      <c r="R55" s="47"/>
      <c r="S55" s="47"/>
    </row>
    <row r="56" spans="1:19">
      <c r="A56" s="47"/>
      <c r="B56" s="47"/>
      <c r="C56" s="33"/>
      <c r="D56" s="48"/>
      <c r="E56" s="5"/>
      <c r="F56" s="49"/>
      <c r="G56" s="48"/>
      <c r="H56" s="48"/>
      <c r="I56" s="48"/>
      <c r="J56" s="48"/>
      <c r="K56" s="47"/>
      <c r="L56" s="47"/>
      <c r="M56" s="47"/>
      <c r="N56" s="47"/>
      <c r="O56" s="47"/>
      <c r="P56" s="47"/>
      <c r="Q56" s="47"/>
      <c r="R56" s="47"/>
      <c r="S56" s="47"/>
    </row>
    <row r="57" spans="1:19">
      <c r="A57" s="47"/>
      <c r="B57" s="47"/>
      <c r="C57" s="33"/>
      <c r="D57" s="48"/>
      <c r="E57" s="5"/>
      <c r="F57" s="49"/>
      <c r="G57" s="48"/>
      <c r="H57" s="48"/>
      <c r="I57" s="48"/>
      <c r="J57" s="48"/>
      <c r="K57" s="47"/>
      <c r="L57" s="47"/>
      <c r="M57" s="47"/>
      <c r="N57" s="47"/>
      <c r="O57" s="47"/>
      <c r="P57" s="47"/>
      <c r="Q57" s="47"/>
      <c r="R57" s="47"/>
      <c r="S57" s="47"/>
    </row>
    <row r="58" spans="1:19">
      <c r="A58" s="47"/>
      <c r="B58" s="47"/>
      <c r="C58" s="33"/>
      <c r="D58" s="48"/>
      <c r="E58" s="5"/>
      <c r="F58" s="49"/>
      <c r="G58" s="48"/>
      <c r="H58" s="48"/>
      <c r="I58" s="48"/>
      <c r="J58" s="48"/>
      <c r="K58" s="47"/>
      <c r="L58" s="47"/>
      <c r="M58" s="47"/>
      <c r="N58" s="47"/>
      <c r="O58" s="47"/>
      <c r="P58" s="47"/>
      <c r="Q58" s="47"/>
      <c r="R58" s="47"/>
      <c r="S58" s="47"/>
    </row>
    <row r="59" spans="1:19">
      <c r="A59" s="47"/>
      <c r="B59" s="47"/>
      <c r="C59" s="33"/>
      <c r="D59" s="48"/>
      <c r="E59" s="5"/>
      <c r="F59" s="49"/>
      <c r="G59" s="48"/>
      <c r="H59" s="48"/>
      <c r="I59" s="48"/>
      <c r="J59" s="48"/>
      <c r="K59" s="47"/>
      <c r="L59" s="47"/>
      <c r="M59" s="47"/>
      <c r="N59" s="47"/>
      <c r="O59" s="47"/>
      <c r="P59" s="47"/>
      <c r="Q59" s="47"/>
      <c r="R59" s="47"/>
      <c r="S59" s="47"/>
    </row>
    <row r="60" spans="1:19">
      <c r="A60" s="47"/>
      <c r="B60" s="47"/>
      <c r="C60" s="33"/>
      <c r="D60" s="48"/>
      <c r="E60" s="5"/>
      <c r="F60" s="49"/>
      <c r="G60" s="48"/>
      <c r="H60" s="48"/>
      <c r="I60" s="48"/>
      <c r="J60" s="48"/>
      <c r="K60" s="47"/>
      <c r="L60" s="47"/>
      <c r="M60" s="47"/>
      <c r="N60" s="47"/>
      <c r="O60" s="47"/>
      <c r="P60" s="47"/>
      <c r="Q60" s="47"/>
      <c r="R60" s="47"/>
      <c r="S60" s="47"/>
    </row>
    <row r="61" spans="1:19">
      <c r="A61" s="47"/>
      <c r="B61" s="47"/>
      <c r="C61" s="33"/>
      <c r="D61" s="48"/>
      <c r="E61" s="5"/>
      <c r="F61" s="49"/>
      <c r="G61" s="48"/>
      <c r="H61" s="48"/>
      <c r="I61" s="48"/>
      <c r="J61" s="48"/>
      <c r="K61" s="47"/>
      <c r="L61" s="47"/>
      <c r="M61" s="47"/>
      <c r="N61" s="47"/>
      <c r="O61" s="47"/>
      <c r="P61" s="47"/>
      <c r="Q61" s="47"/>
      <c r="R61" s="47"/>
      <c r="S61" s="47"/>
    </row>
    <row r="62" spans="1:19">
      <c r="A62" s="47"/>
      <c r="B62" s="47"/>
      <c r="C62" s="33"/>
      <c r="D62" s="48"/>
      <c r="E62" s="5"/>
      <c r="F62" s="49"/>
      <c r="G62" s="48"/>
      <c r="H62" s="48"/>
      <c r="I62" s="48"/>
      <c r="J62" s="48"/>
      <c r="K62" s="47"/>
      <c r="L62" s="47"/>
      <c r="M62" s="47"/>
      <c r="N62" s="47"/>
      <c r="O62" s="47"/>
      <c r="P62" s="47"/>
      <c r="Q62" s="47"/>
      <c r="R62" s="47"/>
      <c r="S62" s="47"/>
    </row>
    <row r="63" spans="1:19">
      <c r="A63" s="47"/>
      <c r="B63" s="47"/>
      <c r="C63" s="33"/>
      <c r="D63" s="48"/>
      <c r="E63" s="5"/>
      <c r="F63" s="49"/>
      <c r="G63" s="48"/>
      <c r="H63" s="48"/>
      <c r="I63" s="48"/>
      <c r="J63" s="48"/>
      <c r="K63" s="47"/>
      <c r="L63" s="47"/>
      <c r="M63" s="47"/>
      <c r="N63" s="47"/>
      <c r="O63" s="47"/>
      <c r="P63" s="47"/>
      <c r="Q63" s="47"/>
      <c r="R63" s="47"/>
      <c r="S63" s="47"/>
    </row>
    <row r="64" spans="1:19">
      <c r="A64" s="47"/>
      <c r="B64" s="47"/>
      <c r="C64" s="33"/>
      <c r="D64" s="48"/>
      <c r="E64" s="5"/>
      <c r="F64" s="49"/>
      <c r="G64" s="48"/>
      <c r="H64" s="48"/>
      <c r="I64" s="48"/>
      <c r="J64" s="48"/>
      <c r="K64" s="47"/>
      <c r="L64" s="47"/>
      <c r="M64" s="47"/>
      <c r="N64" s="47"/>
      <c r="O64" s="47"/>
      <c r="P64" s="47"/>
      <c r="Q64" s="47"/>
      <c r="R64" s="47"/>
      <c r="S64" s="47"/>
    </row>
    <row r="65" spans="1:19">
      <c r="A65" s="47"/>
      <c r="B65" s="47"/>
      <c r="C65" s="33"/>
      <c r="D65" s="48"/>
      <c r="E65" s="5"/>
      <c r="F65" s="49"/>
      <c r="G65" s="48"/>
      <c r="H65" s="48"/>
      <c r="I65" s="48"/>
      <c r="J65" s="48"/>
      <c r="K65" s="47"/>
      <c r="L65" s="47"/>
      <c r="M65" s="47"/>
      <c r="N65" s="47"/>
      <c r="O65" s="47"/>
      <c r="P65" s="47"/>
      <c r="Q65" s="47"/>
      <c r="R65" s="47"/>
      <c r="S65" s="47"/>
    </row>
    <row r="66" spans="1:19">
      <c r="A66" s="47"/>
      <c r="B66" s="47"/>
      <c r="C66" s="33"/>
      <c r="D66" s="48"/>
      <c r="E66" s="5"/>
      <c r="F66" s="49"/>
      <c r="G66" s="48"/>
      <c r="H66" s="48"/>
      <c r="I66" s="48"/>
      <c r="J66" s="48"/>
      <c r="K66" s="47"/>
      <c r="L66" s="47"/>
      <c r="M66" s="47"/>
      <c r="N66" s="47"/>
      <c r="O66" s="47"/>
      <c r="P66" s="47"/>
      <c r="Q66" s="47"/>
      <c r="R66" s="47"/>
      <c r="S66" s="47"/>
    </row>
    <row r="67" spans="1:19">
      <c r="A67" s="47"/>
      <c r="B67" s="47"/>
      <c r="C67" s="33"/>
      <c r="D67" s="48"/>
      <c r="E67" s="5"/>
      <c r="F67" s="49"/>
      <c r="G67" s="48"/>
      <c r="H67" s="48"/>
      <c r="I67" s="48"/>
      <c r="J67" s="48"/>
      <c r="K67" s="47"/>
      <c r="L67" s="47"/>
      <c r="M67" s="47"/>
      <c r="N67" s="47"/>
      <c r="O67" s="47"/>
      <c r="P67" s="47"/>
      <c r="Q67" s="47"/>
      <c r="R67" s="47"/>
      <c r="S67" s="47"/>
    </row>
    <row r="68" spans="1:19">
      <c r="A68" s="47"/>
      <c r="B68" s="47"/>
      <c r="C68" s="33"/>
      <c r="D68" s="48"/>
      <c r="E68" s="5"/>
      <c r="F68" s="49"/>
      <c r="G68" s="48"/>
      <c r="H68" s="48"/>
      <c r="I68" s="48"/>
      <c r="J68" s="48"/>
      <c r="K68" s="47"/>
      <c r="L68" s="47"/>
      <c r="M68" s="47"/>
      <c r="N68" s="47"/>
      <c r="O68" s="47"/>
      <c r="P68" s="47"/>
      <c r="Q68" s="47"/>
      <c r="R68" s="47"/>
      <c r="S68" s="47"/>
    </row>
    <row r="69" spans="1:19">
      <c r="A69" s="47"/>
      <c r="B69" s="47"/>
      <c r="C69" s="33"/>
      <c r="D69" s="48"/>
      <c r="E69" s="5"/>
      <c r="F69" s="49"/>
      <c r="G69" s="48"/>
      <c r="H69" s="48"/>
      <c r="I69" s="48"/>
      <c r="J69" s="48"/>
      <c r="K69" s="47"/>
      <c r="L69" s="47"/>
      <c r="M69" s="47"/>
      <c r="N69" s="47"/>
      <c r="O69" s="47"/>
      <c r="P69" s="47"/>
      <c r="Q69" s="47"/>
      <c r="R69" s="47"/>
      <c r="S69" s="47"/>
    </row>
    <row r="70" spans="1:19">
      <c r="A70" s="47"/>
      <c r="B70" s="47"/>
      <c r="C70" s="33"/>
      <c r="D70" s="48"/>
      <c r="E70" s="5"/>
      <c r="F70" s="49"/>
      <c r="G70" s="48"/>
      <c r="H70" s="48"/>
      <c r="I70" s="48"/>
      <c r="J70" s="48"/>
      <c r="K70" s="47"/>
      <c r="L70" s="47"/>
      <c r="M70" s="47"/>
      <c r="N70" s="47"/>
      <c r="O70" s="47"/>
      <c r="P70" s="47"/>
      <c r="Q70" s="47"/>
      <c r="R70" s="47"/>
      <c r="S70" s="47"/>
    </row>
    <row r="71" spans="1:19">
      <c r="A71" s="47"/>
      <c r="B71" s="47"/>
      <c r="C71" s="33"/>
      <c r="D71" s="48"/>
      <c r="E71" s="5"/>
      <c r="F71" s="49"/>
      <c r="G71" s="48"/>
      <c r="H71" s="48"/>
      <c r="I71" s="48"/>
      <c r="J71" s="48"/>
      <c r="K71" s="47"/>
      <c r="L71" s="47"/>
      <c r="M71" s="47"/>
      <c r="N71" s="47"/>
      <c r="O71" s="47"/>
      <c r="P71" s="47"/>
      <c r="Q71" s="47"/>
      <c r="R71" s="47"/>
      <c r="S71" s="47"/>
    </row>
    <row r="72" spans="1:19">
      <c r="A72" s="50"/>
      <c r="B72" s="50"/>
      <c r="C72" s="34"/>
      <c r="D72" s="51"/>
      <c r="E72" s="40"/>
      <c r="F72" s="52"/>
      <c r="G72" s="51"/>
      <c r="H72" s="51"/>
      <c r="I72" s="51"/>
      <c r="J72" s="51"/>
      <c r="K72" s="50"/>
      <c r="L72" s="50"/>
      <c r="M72" s="50"/>
      <c r="N72" s="50"/>
      <c r="O72" s="50"/>
      <c r="P72" s="50"/>
      <c r="Q72" s="50"/>
      <c r="R72" s="50"/>
      <c r="S72" s="5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02FB-7AA7-47C1-BBA1-C05F83E001AA}">
  <dimension ref="A1:B64"/>
  <sheetViews>
    <sheetView topLeftCell="A21" workbookViewId="0">
      <selection activeCell="A31" sqref="A31"/>
    </sheetView>
  </sheetViews>
  <sheetFormatPr defaultRowHeight="15"/>
  <cols>
    <col min="1" max="1" width="10.140625" style="2" customWidth="1"/>
    <col min="2" max="2" width="11.7109375" style="2" customWidth="1"/>
  </cols>
  <sheetData>
    <row r="1" spans="1:2">
      <c r="A1" s="19" t="s">
        <v>560</v>
      </c>
      <c r="B1" s="19" t="s">
        <v>102</v>
      </c>
    </row>
    <row r="2" spans="1:2">
      <c r="A2" s="47" t="s">
        <v>579</v>
      </c>
      <c r="B2" s="7" t="s">
        <v>128</v>
      </c>
    </row>
    <row r="3" spans="1:2">
      <c r="A3" s="47" t="s">
        <v>579</v>
      </c>
      <c r="B3" s="7" t="s">
        <v>133</v>
      </c>
    </row>
    <row r="4" spans="1:2">
      <c r="A4" s="47" t="s">
        <v>588</v>
      </c>
      <c r="B4" s="7" t="s">
        <v>141</v>
      </c>
    </row>
    <row r="5" spans="1:2">
      <c r="A5" s="47" t="s">
        <v>597</v>
      </c>
      <c r="B5" s="7" t="s">
        <v>137</v>
      </c>
    </row>
    <row r="6" spans="1:2">
      <c r="A6" s="47" t="s">
        <v>603</v>
      </c>
      <c r="B6" s="7" t="s">
        <v>123</v>
      </c>
    </row>
    <row r="7" spans="1:2">
      <c r="A7" s="47" t="s">
        <v>603</v>
      </c>
      <c r="B7" s="7" t="s">
        <v>205</v>
      </c>
    </row>
    <row r="8" spans="1:2">
      <c r="A8" s="47" t="s">
        <v>603</v>
      </c>
      <c r="B8" s="7" t="s">
        <v>209</v>
      </c>
    </row>
    <row r="9" spans="1:2">
      <c r="A9" s="47" t="s">
        <v>609</v>
      </c>
      <c r="B9" s="7" t="s">
        <v>149</v>
      </c>
    </row>
    <row r="10" spans="1:2">
      <c r="A10" s="47" t="s">
        <v>609</v>
      </c>
      <c r="B10" s="7" t="s">
        <v>153</v>
      </c>
    </row>
    <row r="11" spans="1:2">
      <c r="A11" s="47" t="s">
        <v>613</v>
      </c>
      <c r="B11" s="7" t="s">
        <v>225</v>
      </c>
    </row>
    <row r="12" spans="1:2">
      <c r="A12" s="47" t="s">
        <v>613</v>
      </c>
      <c r="B12" s="7" t="s">
        <v>229</v>
      </c>
    </row>
    <row r="13" spans="1:2">
      <c r="A13" s="47" t="s">
        <v>620</v>
      </c>
      <c r="B13" s="7" t="s">
        <v>157</v>
      </c>
    </row>
    <row r="14" spans="1:2">
      <c r="A14" s="47" t="s">
        <v>620</v>
      </c>
      <c r="B14" s="7" t="s">
        <v>161</v>
      </c>
    </row>
    <row r="15" spans="1:2">
      <c r="A15" s="47" t="s">
        <v>620</v>
      </c>
      <c r="B15" s="7" t="s">
        <v>177</v>
      </c>
    </row>
    <row r="16" spans="1:2">
      <c r="A16" s="47" t="s">
        <v>625</v>
      </c>
      <c r="B16" s="7" t="s">
        <v>233</v>
      </c>
    </row>
    <row r="17" spans="1:2">
      <c r="A17" s="47" t="s">
        <v>625</v>
      </c>
      <c r="B17" s="7" t="s">
        <v>237</v>
      </c>
    </row>
    <row r="18" spans="1:2">
      <c r="A18" s="47" t="s">
        <v>630</v>
      </c>
      <c r="B18" s="7" t="s">
        <v>165</v>
      </c>
    </row>
    <row r="19" spans="1:2">
      <c r="A19" s="47" t="s">
        <v>637</v>
      </c>
      <c r="B19" s="7" t="s">
        <v>169</v>
      </c>
    </row>
    <row r="20" spans="1:2">
      <c r="A20" s="47" t="s">
        <v>637</v>
      </c>
      <c r="B20" s="7" t="s">
        <v>177</v>
      </c>
    </row>
    <row r="21" spans="1:2">
      <c r="A21" s="47" t="s">
        <v>637</v>
      </c>
      <c r="B21" s="7" t="s">
        <v>181</v>
      </c>
    </row>
    <row r="22" spans="1:2">
      <c r="A22" s="47" t="s">
        <v>643</v>
      </c>
      <c r="B22" s="7" t="s">
        <v>261</v>
      </c>
    </row>
    <row r="23" spans="1:2">
      <c r="A23" s="47" t="s">
        <v>660</v>
      </c>
      <c r="B23" s="7" t="s">
        <v>201</v>
      </c>
    </row>
    <row r="24" spans="1:2">
      <c r="A24" s="47" t="s">
        <v>668</v>
      </c>
      <c r="B24" s="7" t="s">
        <v>330</v>
      </c>
    </row>
    <row r="25" spans="1:2">
      <c r="A25" s="47" t="s">
        <v>673</v>
      </c>
      <c r="B25" s="7" t="s">
        <v>338</v>
      </c>
    </row>
    <row r="26" spans="1:2">
      <c r="A26" s="47" t="s">
        <v>673</v>
      </c>
      <c r="B26" s="7" t="s">
        <v>334</v>
      </c>
    </row>
    <row r="27" spans="1:2">
      <c r="A27" s="47" t="s">
        <v>677</v>
      </c>
      <c r="B27" s="7" t="s">
        <v>358</v>
      </c>
    </row>
    <row r="28" spans="1:2">
      <c r="A28" s="47" t="s">
        <v>677</v>
      </c>
      <c r="B28" s="7" t="s">
        <v>362</v>
      </c>
    </row>
    <row r="29" spans="1:2">
      <c r="A29" s="47" t="s">
        <v>677</v>
      </c>
      <c r="B29" s="7" t="s">
        <v>354</v>
      </c>
    </row>
    <row r="30" spans="1:2">
      <c r="A30" s="47" t="s">
        <v>690</v>
      </c>
      <c r="B30" s="7" t="s">
        <v>342</v>
      </c>
    </row>
    <row r="31" spans="1:2">
      <c r="A31" s="47" t="s">
        <v>693</v>
      </c>
      <c r="B31" s="7" t="s">
        <v>366</v>
      </c>
    </row>
    <row r="32" spans="1:2">
      <c r="A32" s="47"/>
      <c r="B32" s="7"/>
    </row>
    <row r="33" spans="1:2">
      <c r="A33" s="47"/>
      <c r="B33" s="7"/>
    </row>
    <row r="34" spans="1:2">
      <c r="A34" s="47"/>
      <c r="B34" s="7"/>
    </row>
    <row r="35" spans="1:2">
      <c r="A35" s="47"/>
      <c r="B35" s="7"/>
    </row>
    <row r="36" spans="1:2">
      <c r="A36" s="47"/>
      <c r="B36" s="7"/>
    </row>
    <row r="37" spans="1:2">
      <c r="A37" s="47"/>
      <c r="B37" s="7"/>
    </row>
    <row r="38" spans="1:2">
      <c r="A38" s="47"/>
      <c r="B38" s="7"/>
    </row>
    <row r="39" spans="1:2">
      <c r="A39" s="47"/>
      <c r="B39" s="7"/>
    </row>
    <row r="40" spans="1:2">
      <c r="A40" s="47"/>
      <c r="B40" s="7"/>
    </row>
    <row r="41" spans="1:2">
      <c r="A41" s="47"/>
      <c r="B41" s="7"/>
    </row>
    <row r="42" spans="1:2">
      <c r="A42" s="47"/>
      <c r="B42" s="7"/>
    </row>
    <row r="43" spans="1:2">
      <c r="A43" s="47"/>
      <c r="B43" s="7"/>
    </row>
    <row r="44" spans="1:2">
      <c r="A44" s="47"/>
      <c r="B44" s="7"/>
    </row>
    <row r="45" spans="1:2">
      <c r="A45" s="47"/>
      <c r="B45" s="7"/>
    </row>
    <row r="46" spans="1:2">
      <c r="A46" s="47"/>
      <c r="B46" s="7"/>
    </row>
    <row r="47" spans="1:2">
      <c r="A47" s="47"/>
      <c r="B47" s="7"/>
    </row>
    <row r="48" spans="1:2">
      <c r="A48" s="47"/>
      <c r="B48" s="7"/>
    </row>
    <row r="49" spans="1:2">
      <c r="A49" s="47"/>
      <c r="B49" s="7"/>
    </row>
    <row r="50" spans="1:2">
      <c r="A50" s="47"/>
      <c r="B50" s="7"/>
    </row>
    <row r="51" spans="1:2">
      <c r="A51" s="47"/>
      <c r="B51" s="7"/>
    </row>
    <row r="52" spans="1:2">
      <c r="A52" s="47"/>
      <c r="B52" s="7"/>
    </row>
    <row r="53" spans="1:2">
      <c r="A53" s="47"/>
      <c r="B53" s="7"/>
    </row>
    <row r="54" spans="1:2">
      <c r="A54" s="47"/>
      <c r="B54" s="7"/>
    </row>
    <row r="55" spans="1:2">
      <c r="A55" s="47"/>
      <c r="B55" s="7"/>
    </row>
    <row r="56" spans="1:2">
      <c r="A56" s="47"/>
      <c r="B56" s="7"/>
    </row>
    <row r="57" spans="1:2">
      <c r="A57" s="47"/>
      <c r="B57" s="7"/>
    </row>
    <row r="58" spans="1:2">
      <c r="A58" s="47"/>
      <c r="B58" s="7"/>
    </row>
    <row r="59" spans="1:2">
      <c r="A59" s="47"/>
      <c r="B59" s="7"/>
    </row>
    <row r="60" spans="1:2">
      <c r="A60" s="47"/>
      <c r="B60" s="7"/>
    </row>
    <row r="61" spans="1:2">
      <c r="A61" s="47"/>
      <c r="B61" s="7"/>
    </row>
    <row r="62" spans="1:2">
      <c r="A62" s="47"/>
      <c r="B62" s="7"/>
    </row>
    <row r="63" spans="1:2">
      <c r="A63" s="47"/>
      <c r="B63" s="7"/>
    </row>
    <row r="64" spans="1:2">
      <c r="A64" s="47"/>
      <c r="B64" s="7"/>
    </row>
  </sheetData>
  <sortState xmlns:xlrd2="http://schemas.microsoft.com/office/spreadsheetml/2017/richdata2" ref="A2:B1048576">
    <sortCondition ref="A2:A104857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7AF2-B659-480F-B4EE-F190D0FFD460}">
  <dimension ref="A1:F6"/>
  <sheetViews>
    <sheetView workbookViewId="0"/>
  </sheetViews>
  <sheetFormatPr defaultRowHeight="15"/>
  <cols>
    <col min="2" max="2" width="31.28515625" customWidth="1"/>
    <col min="3" max="3" width="28.42578125" customWidth="1"/>
    <col min="4" max="4" width="29" customWidth="1"/>
    <col min="5" max="5" width="33.28515625" customWidth="1"/>
    <col min="6" max="6" width="38.28515625" customWidth="1"/>
  </cols>
  <sheetData>
    <row r="1" spans="1:6" ht="45.75">
      <c r="A1" s="173" t="s">
        <v>560</v>
      </c>
      <c r="B1" s="12" t="s">
        <v>718</v>
      </c>
      <c r="C1" s="12" t="s">
        <v>719</v>
      </c>
      <c r="D1" s="12" t="s">
        <v>720</v>
      </c>
      <c r="E1" s="12" t="s">
        <v>721</v>
      </c>
      <c r="F1" s="12" t="s">
        <v>722</v>
      </c>
    </row>
    <row r="2" spans="1:6">
      <c r="A2" s="6" t="s">
        <v>677</v>
      </c>
      <c r="B2" s="6">
        <v>5</v>
      </c>
      <c r="C2" s="6">
        <v>5</v>
      </c>
      <c r="D2" s="6">
        <v>5</v>
      </c>
      <c r="E2" s="6">
        <v>5</v>
      </c>
      <c r="F2" s="6">
        <v>5</v>
      </c>
    </row>
    <row r="3" spans="1:6">
      <c r="A3" s="6" t="s">
        <v>677</v>
      </c>
      <c r="B3" s="6">
        <v>4</v>
      </c>
      <c r="C3" s="6">
        <v>4</v>
      </c>
      <c r="D3" s="6">
        <v>5</v>
      </c>
      <c r="E3" s="6">
        <v>5</v>
      </c>
      <c r="F3" s="6">
        <v>5</v>
      </c>
    </row>
    <row r="4" spans="1:6">
      <c r="A4" s="6" t="s">
        <v>677</v>
      </c>
      <c r="B4" s="6">
        <v>5</v>
      </c>
      <c r="C4" s="6">
        <v>5</v>
      </c>
      <c r="D4" s="6">
        <v>5</v>
      </c>
      <c r="E4" s="6">
        <v>5</v>
      </c>
      <c r="F4" s="6">
        <v>5</v>
      </c>
    </row>
    <row r="5" spans="1:6">
      <c r="A5" s="6" t="s">
        <v>677</v>
      </c>
      <c r="B5" s="6">
        <v>4</v>
      </c>
      <c r="C5" s="6">
        <v>5</v>
      </c>
      <c r="D5" s="6">
        <v>5</v>
      </c>
      <c r="E5" s="6">
        <v>5</v>
      </c>
      <c r="F5" s="6">
        <v>5</v>
      </c>
    </row>
    <row r="6" spans="1:6">
      <c r="A6" s="6" t="s">
        <v>677</v>
      </c>
      <c r="B6" s="6">
        <v>5</v>
      </c>
      <c r="C6" s="6">
        <v>5</v>
      </c>
      <c r="D6" s="6">
        <v>5</v>
      </c>
      <c r="E6" s="6">
        <v>5</v>
      </c>
      <c r="F6" s="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6EE5-784B-4823-A697-383A58E80C65}">
  <dimension ref="A1:P2"/>
  <sheetViews>
    <sheetView workbookViewId="0">
      <selection activeCell="C2" sqref="C2"/>
    </sheetView>
  </sheetViews>
  <sheetFormatPr defaultColWidth="24.5703125" defaultRowHeight="15"/>
  <cols>
    <col min="1" max="16384" width="24.5703125" style="1"/>
  </cols>
  <sheetData>
    <row r="1" spans="1:16">
      <c r="A1" s="1" t="s">
        <v>723</v>
      </c>
      <c r="B1" s="1" t="s">
        <v>724</v>
      </c>
      <c r="C1" s="1" t="s">
        <v>725</v>
      </c>
      <c r="D1" s="1" t="s">
        <v>726</v>
      </c>
      <c r="E1" s="1" t="s">
        <v>727</v>
      </c>
      <c r="F1" s="1" t="s">
        <v>728</v>
      </c>
      <c r="G1" s="1" t="s">
        <v>729</v>
      </c>
      <c r="H1" s="1" t="s">
        <v>730</v>
      </c>
      <c r="I1" s="1" t="s">
        <v>731</v>
      </c>
      <c r="J1" s="1" t="s">
        <v>732</v>
      </c>
      <c r="K1" s="1" t="s">
        <v>733</v>
      </c>
      <c r="L1" s="1" t="s">
        <v>734</v>
      </c>
      <c r="M1" s="1" t="s">
        <v>735</v>
      </c>
      <c r="N1" s="1" t="s">
        <v>736</v>
      </c>
      <c r="O1" s="1" t="s">
        <v>737</v>
      </c>
      <c r="P1" s="1" t="s">
        <v>738</v>
      </c>
    </row>
    <row r="2" spans="1:16" ht="167.25">
      <c r="A2" s="1" t="s">
        <v>739</v>
      </c>
      <c r="B2" s="1" t="s">
        <v>740</v>
      </c>
      <c r="C2" s="1" t="s">
        <v>741</v>
      </c>
      <c r="D2" s="1" t="s">
        <v>742</v>
      </c>
      <c r="E2" s="1" t="s">
        <v>743</v>
      </c>
      <c r="F2" s="1" t="s">
        <v>744</v>
      </c>
      <c r="G2" s="1" t="s">
        <v>745</v>
      </c>
      <c r="H2" s="1" t="s">
        <v>746</v>
      </c>
      <c r="I2" s="1" t="s">
        <v>747</v>
      </c>
      <c r="J2" s="1" t="s">
        <v>748</v>
      </c>
      <c r="K2" s="1" t="s">
        <v>749</v>
      </c>
      <c r="L2" s="1" t="s">
        <v>750</v>
      </c>
      <c r="M2" s="1" t="s">
        <v>751</v>
      </c>
      <c r="N2" s="1" t="s">
        <v>752</v>
      </c>
      <c r="O2" s="1" t="s">
        <v>753</v>
      </c>
      <c r="P2" s="1" t="s">
        <v>748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F094-4160-4762-99E6-64AE27FA9548}">
  <dimension ref="A1:T82"/>
  <sheetViews>
    <sheetView topLeftCell="A12" workbookViewId="0"/>
  </sheetViews>
  <sheetFormatPr defaultRowHeight="15"/>
  <cols>
    <col min="1" max="1" width="10.140625" bestFit="1" customWidth="1"/>
    <col min="2" max="2" width="10.140625" customWidth="1"/>
    <col min="3" max="3" width="50.28515625" style="1" customWidth="1"/>
    <col min="5" max="5" width="30.140625" style="71" customWidth="1"/>
    <col min="6" max="6" width="60.7109375" customWidth="1"/>
    <col min="7" max="7" width="21.7109375" customWidth="1"/>
    <col min="8" max="8" width="25.7109375" bestFit="1" customWidth="1"/>
    <col min="9" max="9" width="20.5703125" customWidth="1"/>
    <col min="10" max="10" width="20.28515625" customWidth="1"/>
    <col min="11" max="11" width="32.28515625" bestFit="1" customWidth="1"/>
    <col min="12" max="12" width="34.7109375" bestFit="1" customWidth="1"/>
    <col min="13" max="13" width="20.42578125" bestFit="1" customWidth="1"/>
    <col min="14" max="14" width="22" bestFit="1" customWidth="1"/>
    <col min="15" max="15" width="31.7109375" bestFit="1" customWidth="1"/>
    <col min="16" max="16" width="32.140625" bestFit="1" customWidth="1"/>
    <col min="17" max="17" width="31.7109375" bestFit="1" customWidth="1"/>
    <col min="18" max="18" width="37.42578125" bestFit="1" customWidth="1"/>
    <col min="19" max="19" width="26.28515625" bestFit="1" customWidth="1"/>
  </cols>
  <sheetData>
    <row r="1" spans="1:19">
      <c r="A1" s="101" t="s">
        <v>560</v>
      </c>
      <c r="B1" s="101" t="s">
        <v>561</v>
      </c>
      <c r="C1" s="76" t="s">
        <v>562</v>
      </c>
      <c r="D1" s="44" t="s">
        <v>563</v>
      </c>
      <c r="E1" s="69" t="s">
        <v>564</v>
      </c>
      <c r="F1" s="45" t="s">
        <v>565</v>
      </c>
      <c r="G1" s="44" t="s">
        <v>566</v>
      </c>
      <c r="H1" s="44" t="s">
        <v>567</v>
      </c>
      <c r="I1" s="44" t="s">
        <v>568</v>
      </c>
      <c r="J1" s="44" t="s">
        <v>569</v>
      </c>
      <c r="K1" s="46" t="s">
        <v>570</v>
      </c>
      <c r="L1" s="46" t="s">
        <v>571</v>
      </c>
      <c r="M1" s="46" t="s">
        <v>572</v>
      </c>
      <c r="N1" s="46" t="s">
        <v>573</v>
      </c>
      <c r="O1" s="46" t="s">
        <v>574</v>
      </c>
      <c r="P1" s="46" t="s">
        <v>575</v>
      </c>
      <c r="Q1" s="46" t="s">
        <v>576</v>
      </c>
      <c r="R1" s="46" t="s">
        <v>577</v>
      </c>
      <c r="S1" s="46" t="s">
        <v>578</v>
      </c>
    </row>
    <row r="2" spans="1:19" s="60" customFormat="1" ht="40.5">
      <c r="A2" s="56" t="s">
        <v>579</v>
      </c>
      <c r="B2" s="56" t="s">
        <v>30</v>
      </c>
      <c r="C2" s="57" t="s">
        <v>580</v>
      </c>
      <c r="D2" s="67" t="s">
        <v>581</v>
      </c>
      <c r="E2" s="70" t="s">
        <v>582</v>
      </c>
      <c r="F2" s="58" t="s">
        <v>583</v>
      </c>
      <c r="G2" s="68" t="s">
        <v>584</v>
      </c>
      <c r="H2" s="57" t="s">
        <v>585</v>
      </c>
      <c r="I2" s="57" t="s">
        <v>586</v>
      </c>
      <c r="J2" s="57" t="s">
        <v>587</v>
      </c>
      <c r="K2" s="59">
        <v>7</v>
      </c>
      <c r="L2" s="59">
        <v>14</v>
      </c>
      <c r="M2" s="59">
        <v>4</v>
      </c>
      <c r="N2" s="59">
        <v>16</v>
      </c>
      <c r="O2" s="59">
        <v>4</v>
      </c>
      <c r="P2" s="59">
        <v>1</v>
      </c>
      <c r="Q2" s="59">
        <v>1</v>
      </c>
      <c r="R2" s="59">
        <v>0</v>
      </c>
      <c r="S2" s="59">
        <v>0</v>
      </c>
    </row>
    <row r="3" spans="1:19" s="60" customFormat="1" ht="63" customHeight="1">
      <c r="A3" s="56" t="s">
        <v>588</v>
      </c>
      <c r="B3" s="56" t="s">
        <v>34</v>
      </c>
      <c r="C3" s="57" t="s">
        <v>589</v>
      </c>
      <c r="D3" s="83" t="s">
        <v>590</v>
      </c>
      <c r="E3" s="73" t="s">
        <v>754</v>
      </c>
      <c r="F3" s="74" t="s">
        <v>592</v>
      </c>
      <c r="G3" s="75" t="s">
        <v>593</v>
      </c>
      <c r="H3" s="57" t="s">
        <v>594</v>
      </c>
      <c r="I3" s="57" t="s">
        <v>755</v>
      </c>
      <c r="J3" s="57" t="s">
        <v>596</v>
      </c>
      <c r="K3" s="59">
        <v>10</v>
      </c>
      <c r="L3" s="59">
        <v>13</v>
      </c>
      <c r="M3" s="59">
        <v>2</v>
      </c>
      <c r="N3" s="59">
        <v>8</v>
      </c>
      <c r="O3" s="59">
        <v>4</v>
      </c>
      <c r="P3" s="59">
        <v>1</v>
      </c>
      <c r="Q3" s="59">
        <v>1</v>
      </c>
      <c r="R3" s="59">
        <v>2</v>
      </c>
      <c r="S3" s="59">
        <v>2</v>
      </c>
    </row>
    <row r="4" spans="1:19" s="127" customFormat="1" ht="32.25" customHeight="1">
      <c r="A4" s="77" t="s">
        <v>756</v>
      </c>
      <c r="B4" s="77"/>
      <c r="C4" s="78" t="s">
        <v>757</v>
      </c>
      <c r="D4" s="135" t="s">
        <v>581</v>
      </c>
      <c r="E4" s="136">
        <v>45714</v>
      </c>
      <c r="F4" s="137" t="s">
        <v>758</v>
      </c>
      <c r="G4" s="135" t="s">
        <v>593</v>
      </c>
      <c r="H4" s="78" t="s">
        <v>594</v>
      </c>
      <c r="I4" s="78" t="s">
        <v>759</v>
      </c>
      <c r="J4" s="78" t="s">
        <v>602</v>
      </c>
      <c r="K4" s="81">
        <v>4</v>
      </c>
      <c r="L4" s="81">
        <v>13</v>
      </c>
      <c r="M4" s="81">
        <v>2</v>
      </c>
      <c r="N4" s="81">
        <v>8</v>
      </c>
      <c r="O4" s="81">
        <v>4</v>
      </c>
      <c r="P4" s="81">
        <v>1</v>
      </c>
      <c r="Q4" s="81">
        <v>1</v>
      </c>
      <c r="R4" s="81">
        <v>2</v>
      </c>
      <c r="S4" s="81">
        <v>0</v>
      </c>
    </row>
    <row r="5" spans="1:19" s="60" customFormat="1" ht="53.25">
      <c r="A5" s="56" t="s">
        <v>597</v>
      </c>
      <c r="B5" s="56" t="s">
        <v>32</v>
      </c>
      <c r="C5" s="57" t="s">
        <v>598</v>
      </c>
      <c r="D5" s="57" t="s">
        <v>581</v>
      </c>
      <c r="E5" s="70">
        <v>45728</v>
      </c>
      <c r="F5" s="58" t="s">
        <v>599</v>
      </c>
      <c r="G5" s="57" t="s">
        <v>760</v>
      </c>
      <c r="H5" s="57" t="s">
        <v>585</v>
      </c>
      <c r="I5" s="57" t="s">
        <v>761</v>
      </c>
      <c r="J5" s="57" t="s">
        <v>602</v>
      </c>
      <c r="K5" s="59">
        <v>6</v>
      </c>
      <c r="L5" s="59">
        <v>16</v>
      </c>
      <c r="M5" s="59">
        <v>1</v>
      </c>
      <c r="N5" s="59">
        <v>4</v>
      </c>
      <c r="O5" s="59">
        <v>4</v>
      </c>
      <c r="P5" s="62">
        <v>0</v>
      </c>
      <c r="Q5" s="59">
        <v>0</v>
      </c>
      <c r="R5" s="59">
        <v>0</v>
      </c>
      <c r="S5" s="59">
        <v>0</v>
      </c>
    </row>
    <row r="6" spans="1:19" s="60" customFormat="1" ht="49.5" customHeight="1">
      <c r="A6" s="56" t="s">
        <v>603</v>
      </c>
      <c r="B6" s="56" t="s">
        <v>28</v>
      </c>
      <c r="C6" s="57" t="s">
        <v>604</v>
      </c>
      <c r="D6" s="57" t="s">
        <v>590</v>
      </c>
      <c r="E6" s="70" t="s">
        <v>605</v>
      </c>
      <c r="F6" s="58" t="s">
        <v>606</v>
      </c>
      <c r="G6" s="57" t="s">
        <v>111</v>
      </c>
      <c r="H6" s="57" t="s">
        <v>607</v>
      </c>
      <c r="I6" s="57" t="s">
        <v>608</v>
      </c>
      <c r="J6" s="57" t="s">
        <v>602</v>
      </c>
      <c r="K6" s="59">
        <v>6</v>
      </c>
      <c r="L6" s="59"/>
      <c r="M6" s="59">
        <v>1</v>
      </c>
      <c r="N6" s="59">
        <v>4</v>
      </c>
      <c r="O6" s="59"/>
      <c r="P6" s="59"/>
      <c r="Q6" s="59"/>
      <c r="R6" s="59"/>
      <c r="S6" s="59">
        <v>2</v>
      </c>
    </row>
    <row r="7" spans="1:19" s="127" customFormat="1" ht="53.25" customHeight="1">
      <c r="A7" s="124" t="s">
        <v>762</v>
      </c>
      <c r="B7" s="77"/>
      <c r="C7" s="78" t="s">
        <v>763</v>
      </c>
      <c r="D7" s="78" t="s">
        <v>590</v>
      </c>
      <c r="E7" s="79">
        <v>45791</v>
      </c>
      <c r="F7" s="80" t="s">
        <v>764</v>
      </c>
      <c r="G7" s="78" t="s">
        <v>111</v>
      </c>
      <c r="H7" s="78" t="s">
        <v>765</v>
      </c>
      <c r="I7" s="78" t="s">
        <v>766</v>
      </c>
      <c r="J7" s="78" t="s">
        <v>602</v>
      </c>
      <c r="K7" s="81">
        <v>4</v>
      </c>
      <c r="L7" s="81"/>
      <c r="M7" s="81">
        <v>1</v>
      </c>
      <c r="N7" s="81">
        <v>4</v>
      </c>
      <c r="O7" s="81"/>
      <c r="P7" s="81"/>
      <c r="Q7" s="81"/>
      <c r="R7" s="81"/>
      <c r="S7" s="81"/>
    </row>
    <row r="8" spans="1:19" s="60" customFormat="1" ht="60" customHeight="1">
      <c r="A8" s="56" t="s">
        <v>609</v>
      </c>
      <c r="B8" s="56" t="s">
        <v>32</v>
      </c>
      <c r="C8" s="57" t="s">
        <v>610</v>
      </c>
      <c r="D8" s="72" t="s">
        <v>590</v>
      </c>
      <c r="E8" s="70">
        <v>45806</v>
      </c>
      <c r="F8" s="58" t="s">
        <v>611</v>
      </c>
      <c r="G8" s="72" t="s">
        <v>600</v>
      </c>
      <c r="H8" s="57" t="s">
        <v>767</v>
      </c>
      <c r="I8" s="57" t="s">
        <v>612</v>
      </c>
      <c r="J8" s="57" t="s">
        <v>596</v>
      </c>
      <c r="K8" s="59">
        <v>7</v>
      </c>
      <c r="L8" s="59">
        <v>13</v>
      </c>
      <c r="M8" s="59">
        <v>1</v>
      </c>
      <c r="N8" s="59">
        <v>4</v>
      </c>
      <c r="O8" s="59">
        <v>3</v>
      </c>
      <c r="P8" s="59">
        <v>0</v>
      </c>
      <c r="Q8" s="59">
        <v>1</v>
      </c>
      <c r="R8" s="59">
        <v>0</v>
      </c>
      <c r="S8" s="59">
        <v>0</v>
      </c>
    </row>
    <row r="9" spans="1:19" s="60" customFormat="1" ht="27">
      <c r="A9" s="114" t="s">
        <v>613</v>
      </c>
      <c r="B9" s="56" t="s">
        <v>36</v>
      </c>
      <c r="C9" s="84" t="s">
        <v>614</v>
      </c>
      <c r="D9" s="84" t="s">
        <v>581</v>
      </c>
      <c r="E9" s="85">
        <v>45807</v>
      </c>
      <c r="F9" s="86" t="s">
        <v>615</v>
      </c>
      <c r="G9" s="84" t="s">
        <v>616</v>
      </c>
      <c r="H9" s="57" t="s">
        <v>768</v>
      </c>
      <c r="I9" s="57" t="s">
        <v>769</v>
      </c>
      <c r="J9" s="57" t="s">
        <v>619</v>
      </c>
      <c r="K9" s="59">
        <v>4</v>
      </c>
      <c r="L9" s="59">
        <v>5</v>
      </c>
      <c r="M9" s="59">
        <v>1</v>
      </c>
      <c r="N9" s="59">
        <v>4</v>
      </c>
      <c r="O9" s="59">
        <v>3</v>
      </c>
      <c r="P9" s="59">
        <v>0</v>
      </c>
      <c r="Q9" s="59">
        <v>0</v>
      </c>
      <c r="R9" s="59">
        <v>0</v>
      </c>
      <c r="S9" s="59">
        <v>0</v>
      </c>
    </row>
    <row r="10" spans="1:19" s="60" customFormat="1" ht="27">
      <c r="A10" s="56" t="s">
        <v>620</v>
      </c>
      <c r="B10" s="56" t="s">
        <v>32</v>
      </c>
      <c r="C10" s="57" t="s">
        <v>621</v>
      </c>
      <c r="D10" s="57" t="s">
        <v>590</v>
      </c>
      <c r="E10" s="70">
        <v>45814</v>
      </c>
      <c r="F10" s="58" t="s">
        <v>622</v>
      </c>
      <c r="G10" s="57" t="s">
        <v>600</v>
      </c>
      <c r="H10" s="57" t="s">
        <v>623</v>
      </c>
      <c r="I10" s="57" t="s">
        <v>770</v>
      </c>
      <c r="J10" s="57" t="s">
        <v>624</v>
      </c>
      <c r="K10" s="59">
        <v>8</v>
      </c>
      <c r="L10" s="59">
        <v>17</v>
      </c>
      <c r="M10" s="59">
        <v>1</v>
      </c>
      <c r="N10" s="59">
        <v>4</v>
      </c>
      <c r="O10" s="59">
        <v>4</v>
      </c>
      <c r="P10" s="59">
        <v>0</v>
      </c>
      <c r="Q10" s="59">
        <v>0</v>
      </c>
      <c r="R10" s="59">
        <v>0</v>
      </c>
      <c r="S10" s="59">
        <v>0</v>
      </c>
    </row>
    <row r="11" spans="1:19" s="60" customFormat="1" ht="86.25" customHeight="1">
      <c r="A11" s="56" t="s">
        <v>625</v>
      </c>
      <c r="B11" s="56" t="s">
        <v>38</v>
      </c>
      <c r="C11" s="57" t="s">
        <v>626</v>
      </c>
      <c r="D11" s="57" t="s">
        <v>581</v>
      </c>
      <c r="E11" s="70">
        <v>45840</v>
      </c>
      <c r="F11" s="58" t="s">
        <v>627</v>
      </c>
      <c r="G11" s="57" t="s">
        <v>39</v>
      </c>
      <c r="H11" s="57" t="s">
        <v>628</v>
      </c>
      <c r="I11" s="57" t="s">
        <v>635</v>
      </c>
      <c r="J11" s="57" t="s">
        <v>629</v>
      </c>
      <c r="K11" s="59">
        <v>8</v>
      </c>
      <c r="L11" s="59">
        <v>13</v>
      </c>
      <c r="M11" s="59">
        <v>1</v>
      </c>
      <c r="N11" s="59">
        <v>4</v>
      </c>
      <c r="O11" s="59">
        <v>3</v>
      </c>
      <c r="P11" s="59">
        <v>0</v>
      </c>
      <c r="Q11" s="59">
        <v>1</v>
      </c>
      <c r="R11" s="59">
        <v>0</v>
      </c>
      <c r="S11" s="59">
        <v>0</v>
      </c>
    </row>
    <row r="12" spans="1:19" s="60" customFormat="1" ht="53.25">
      <c r="A12" s="56" t="s">
        <v>630</v>
      </c>
      <c r="B12" s="56" t="s">
        <v>32</v>
      </c>
      <c r="C12" s="57" t="s">
        <v>631</v>
      </c>
      <c r="D12" s="57" t="s">
        <v>581</v>
      </c>
      <c r="E12" s="70" t="s">
        <v>632</v>
      </c>
      <c r="F12" s="58" t="s">
        <v>633</v>
      </c>
      <c r="G12" s="57" t="s">
        <v>600</v>
      </c>
      <c r="H12" s="57" t="s">
        <v>634</v>
      </c>
      <c r="I12" s="57" t="s">
        <v>635</v>
      </c>
      <c r="J12" s="57" t="s">
        <v>636</v>
      </c>
      <c r="K12" s="59">
        <v>8</v>
      </c>
      <c r="L12" s="59">
        <v>23</v>
      </c>
      <c r="M12" s="59">
        <v>2</v>
      </c>
      <c r="N12" s="59">
        <v>7</v>
      </c>
      <c r="O12" s="59"/>
      <c r="P12" s="59">
        <v>0</v>
      </c>
      <c r="Q12" s="59">
        <v>0</v>
      </c>
      <c r="R12" s="59">
        <v>0</v>
      </c>
      <c r="S12" s="59">
        <v>0</v>
      </c>
    </row>
    <row r="13" spans="1:19" s="60" customFormat="1" ht="53.25">
      <c r="A13" s="56" t="s">
        <v>637</v>
      </c>
      <c r="B13" s="56" t="s">
        <v>32</v>
      </c>
      <c r="C13" s="57" t="s">
        <v>638</v>
      </c>
      <c r="D13" s="57" t="s">
        <v>581</v>
      </c>
      <c r="E13" s="70" t="s">
        <v>639</v>
      </c>
      <c r="F13" s="58" t="s">
        <v>640</v>
      </c>
      <c r="G13" s="57" t="s">
        <v>600</v>
      </c>
      <c r="H13" s="57" t="s">
        <v>641</v>
      </c>
      <c r="I13" s="57" t="s">
        <v>642</v>
      </c>
      <c r="J13" s="57" t="s">
        <v>636</v>
      </c>
      <c r="K13" s="59">
        <v>9</v>
      </c>
      <c r="L13" s="59">
        <v>12</v>
      </c>
      <c r="M13" s="59">
        <v>3</v>
      </c>
      <c r="N13" s="59">
        <v>12</v>
      </c>
      <c r="O13" s="59">
        <v>5</v>
      </c>
      <c r="P13" s="59">
        <v>1</v>
      </c>
      <c r="Q13" s="59">
        <v>1</v>
      </c>
      <c r="R13" s="59">
        <v>0</v>
      </c>
      <c r="S13" s="59">
        <v>0</v>
      </c>
    </row>
    <row r="14" spans="1:19" ht="59.25" customHeight="1">
      <c r="A14" s="77" t="s">
        <v>771</v>
      </c>
      <c r="B14" s="77" t="s">
        <v>32</v>
      </c>
      <c r="C14" s="78" t="s">
        <v>772</v>
      </c>
      <c r="D14" s="78" t="s">
        <v>581</v>
      </c>
      <c r="E14" s="79">
        <v>45867</v>
      </c>
      <c r="F14" s="80" t="s">
        <v>773</v>
      </c>
      <c r="G14" s="78" t="s">
        <v>600</v>
      </c>
      <c r="H14" s="78" t="s">
        <v>774</v>
      </c>
      <c r="I14" s="78" t="s">
        <v>775</v>
      </c>
      <c r="J14" s="78" t="s">
        <v>636</v>
      </c>
      <c r="K14" s="81">
        <v>8</v>
      </c>
      <c r="L14" s="81"/>
      <c r="M14" s="81">
        <v>1</v>
      </c>
      <c r="N14" s="81">
        <v>4</v>
      </c>
      <c r="O14" s="81">
        <v>5</v>
      </c>
      <c r="P14" s="81">
        <v>1</v>
      </c>
      <c r="Q14" s="81">
        <v>0</v>
      </c>
      <c r="R14" s="82">
        <v>1</v>
      </c>
      <c r="S14" s="81">
        <v>0</v>
      </c>
    </row>
    <row r="15" spans="1:19" s="127" customFormat="1" ht="53.25">
      <c r="A15" s="124" t="s">
        <v>776</v>
      </c>
      <c r="B15" s="77" t="s">
        <v>32</v>
      </c>
      <c r="C15" s="78" t="s">
        <v>777</v>
      </c>
      <c r="D15" s="78" t="s">
        <v>581</v>
      </c>
      <c r="E15" s="79">
        <v>45877</v>
      </c>
      <c r="F15" s="80" t="s">
        <v>773</v>
      </c>
      <c r="G15" s="78" t="s">
        <v>600</v>
      </c>
      <c r="H15" s="78" t="s">
        <v>774</v>
      </c>
      <c r="I15" s="78" t="s">
        <v>775</v>
      </c>
      <c r="J15" s="78" t="s">
        <v>636</v>
      </c>
      <c r="K15" s="81">
        <v>8</v>
      </c>
      <c r="L15" s="81"/>
      <c r="M15" s="81">
        <v>1</v>
      </c>
      <c r="N15" s="81"/>
      <c r="O15" s="81"/>
      <c r="P15" s="81"/>
      <c r="Q15" s="81"/>
      <c r="R15" s="81"/>
      <c r="S15" s="81">
        <v>0</v>
      </c>
    </row>
    <row r="16" spans="1:19" s="60" customFormat="1" ht="67.5">
      <c r="A16" s="56" t="s">
        <v>643</v>
      </c>
      <c r="B16" s="56" t="s">
        <v>30</v>
      </c>
      <c r="C16" s="57" t="s">
        <v>644</v>
      </c>
      <c r="D16" s="57" t="s">
        <v>645</v>
      </c>
      <c r="E16" s="70" t="s">
        <v>646</v>
      </c>
      <c r="F16" s="58" t="s">
        <v>647</v>
      </c>
      <c r="G16" s="57" t="s">
        <v>584</v>
      </c>
      <c r="H16" s="57" t="s">
        <v>585</v>
      </c>
      <c r="I16" s="57" t="s">
        <v>648</v>
      </c>
      <c r="J16" s="57" t="s">
        <v>649</v>
      </c>
      <c r="K16" s="59">
        <v>3</v>
      </c>
      <c r="L16" s="59"/>
      <c r="M16" s="59">
        <v>6</v>
      </c>
      <c r="N16" s="59">
        <v>24</v>
      </c>
      <c r="O16" s="59">
        <v>5</v>
      </c>
      <c r="P16" s="59">
        <v>0</v>
      </c>
      <c r="Q16" s="59">
        <v>0</v>
      </c>
      <c r="R16" s="59">
        <v>0</v>
      </c>
      <c r="S16" s="59">
        <v>0</v>
      </c>
    </row>
    <row r="17" spans="1:19" s="100" customFormat="1" ht="75.75" customHeight="1">
      <c r="A17" s="133" t="s">
        <v>778</v>
      </c>
      <c r="B17" s="95" t="s">
        <v>30</v>
      </c>
      <c r="C17" s="96" t="s">
        <v>779</v>
      </c>
      <c r="D17" s="96" t="s">
        <v>581</v>
      </c>
      <c r="E17" s="97">
        <v>45896</v>
      </c>
      <c r="F17" s="98" t="s">
        <v>647</v>
      </c>
      <c r="G17" s="96" t="s">
        <v>584</v>
      </c>
      <c r="H17" s="96" t="s">
        <v>780</v>
      </c>
      <c r="I17" s="96" t="s">
        <v>683</v>
      </c>
      <c r="J17" s="96" t="s">
        <v>649</v>
      </c>
      <c r="K17" s="99">
        <v>3</v>
      </c>
      <c r="L17" s="99">
        <v>24</v>
      </c>
      <c r="M17" s="99">
        <v>1</v>
      </c>
      <c r="N17" s="99">
        <v>4</v>
      </c>
      <c r="O17" s="99">
        <v>5</v>
      </c>
      <c r="P17" s="99">
        <v>0</v>
      </c>
      <c r="Q17" s="99">
        <v>0</v>
      </c>
      <c r="R17" s="99">
        <v>0</v>
      </c>
      <c r="S17" s="99">
        <v>0</v>
      </c>
    </row>
    <row r="18" spans="1:19" s="60" customFormat="1" ht="53.25">
      <c r="A18" s="56" t="s">
        <v>650</v>
      </c>
      <c r="B18" s="56" t="s">
        <v>32</v>
      </c>
      <c r="C18" s="57" t="s">
        <v>651</v>
      </c>
      <c r="D18" s="57" t="s">
        <v>581</v>
      </c>
      <c r="E18" s="70">
        <v>45755</v>
      </c>
      <c r="F18" s="58" t="s">
        <v>781</v>
      </c>
      <c r="G18" s="57" t="s">
        <v>600</v>
      </c>
      <c r="H18" s="57" t="s">
        <v>594</v>
      </c>
      <c r="I18" s="57"/>
      <c r="J18" s="57"/>
      <c r="K18" s="59">
        <v>4</v>
      </c>
      <c r="L18" s="59"/>
      <c r="M18" s="59">
        <v>1</v>
      </c>
      <c r="N18" s="59"/>
      <c r="O18" s="59"/>
      <c r="P18" s="59"/>
      <c r="Q18" s="59"/>
      <c r="R18" s="59"/>
      <c r="S18" s="59">
        <v>0</v>
      </c>
    </row>
    <row r="19" spans="1:19" s="100" customFormat="1" ht="40.5">
      <c r="A19" s="134" t="s">
        <v>782</v>
      </c>
      <c r="B19" s="95" t="s">
        <v>30</v>
      </c>
      <c r="C19" s="96" t="s">
        <v>783</v>
      </c>
      <c r="D19" s="96" t="s">
        <v>590</v>
      </c>
      <c r="E19" s="97">
        <v>45904</v>
      </c>
      <c r="F19" s="98" t="s">
        <v>784</v>
      </c>
      <c r="G19" s="96" t="s">
        <v>584</v>
      </c>
      <c r="H19" s="96" t="s">
        <v>780</v>
      </c>
      <c r="I19" s="96" t="s">
        <v>785</v>
      </c>
      <c r="J19" s="96" t="s">
        <v>649</v>
      </c>
      <c r="K19" s="99">
        <v>4</v>
      </c>
      <c r="L19" s="99">
        <v>17</v>
      </c>
      <c r="M19" s="99">
        <v>1</v>
      </c>
      <c r="N19" s="99">
        <v>4</v>
      </c>
      <c r="O19" s="99">
        <v>5</v>
      </c>
      <c r="P19" s="99">
        <v>0</v>
      </c>
      <c r="Q19" s="99">
        <v>0</v>
      </c>
      <c r="R19" s="99">
        <v>0</v>
      </c>
      <c r="S19" s="99">
        <v>0</v>
      </c>
    </row>
    <row r="20" spans="1:19" s="100" customFormat="1" ht="40.5">
      <c r="A20" s="133" t="s">
        <v>786</v>
      </c>
      <c r="B20" s="95" t="s">
        <v>30</v>
      </c>
      <c r="C20" s="96" t="s">
        <v>787</v>
      </c>
      <c r="D20" s="96" t="s">
        <v>581</v>
      </c>
      <c r="E20" s="97" t="s">
        <v>788</v>
      </c>
      <c r="F20" s="98" t="s">
        <v>784</v>
      </c>
      <c r="G20" s="96" t="s">
        <v>584</v>
      </c>
      <c r="H20" s="96" t="s">
        <v>789</v>
      </c>
      <c r="I20" s="96" t="s">
        <v>659</v>
      </c>
      <c r="J20" s="96" t="s">
        <v>649</v>
      </c>
      <c r="K20" s="99">
        <v>4</v>
      </c>
      <c r="L20" s="99">
        <v>16</v>
      </c>
      <c r="M20" s="99">
        <v>2</v>
      </c>
      <c r="N20" s="99">
        <v>4</v>
      </c>
      <c r="O20" s="99">
        <v>5</v>
      </c>
      <c r="P20" s="99">
        <v>1</v>
      </c>
      <c r="Q20" s="99">
        <v>0</v>
      </c>
      <c r="R20" s="99">
        <v>0</v>
      </c>
      <c r="S20" s="99">
        <v>0</v>
      </c>
    </row>
    <row r="21" spans="1:19" s="127" customFormat="1" ht="72.75" customHeight="1">
      <c r="A21" s="124" t="s">
        <v>790</v>
      </c>
      <c r="B21" s="77"/>
      <c r="C21" s="78" t="s">
        <v>791</v>
      </c>
      <c r="D21" s="78" t="s">
        <v>590</v>
      </c>
      <c r="E21" s="79" t="s">
        <v>792</v>
      </c>
      <c r="F21" s="80" t="s">
        <v>793</v>
      </c>
      <c r="G21" s="78" t="s">
        <v>657</v>
      </c>
      <c r="H21" s="78" t="s">
        <v>794</v>
      </c>
      <c r="I21" s="78" t="s">
        <v>659</v>
      </c>
      <c r="J21" s="78" t="s">
        <v>649</v>
      </c>
      <c r="K21" s="81">
        <v>4</v>
      </c>
      <c r="L21" s="81"/>
      <c r="M21" s="81">
        <v>2</v>
      </c>
      <c r="N21" s="81"/>
      <c r="O21" s="81"/>
      <c r="P21" s="81"/>
      <c r="Q21" s="81"/>
      <c r="R21" s="81"/>
      <c r="S21" s="81">
        <v>0</v>
      </c>
    </row>
    <row r="22" spans="1:19" s="60" customFormat="1" ht="49.5" customHeight="1">
      <c r="A22" s="56" t="s">
        <v>653</v>
      </c>
      <c r="B22" s="56" t="s">
        <v>34</v>
      </c>
      <c r="C22" s="57" t="s">
        <v>654</v>
      </c>
      <c r="D22" s="57" t="s">
        <v>581</v>
      </c>
      <c r="E22" s="70" t="s">
        <v>795</v>
      </c>
      <c r="F22" s="58" t="s">
        <v>796</v>
      </c>
      <c r="G22" s="57" t="s">
        <v>657</v>
      </c>
      <c r="H22" s="57" t="s">
        <v>658</v>
      </c>
      <c r="I22" s="57" t="s">
        <v>659</v>
      </c>
      <c r="J22" s="57"/>
      <c r="K22" s="59">
        <v>4</v>
      </c>
      <c r="L22" s="59">
        <v>6</v>
      </c>
      <c r="M22" s="59"/>
      <c r="N22" s="59"/>
      <c r="O22" s="59"/>
      <c r="P22" s="59"/>
      <c r="Q22" s="59"/>
      <c r="R22" s="59"/>
      <c r="S22" s="59"/>
    </row>
    <row r="23" spans="1:19" s="127" customFormat="1" ht="44.25" customHeight="1">
      <c r="A23" s="124" t="s">
        <v>797</v>
      </c>
      <c r="B23" s="77"/>
      <c r="C23" s="78" t="s">
        <v>798</v>
      </c>
      <c r="D23" s="78" t="s">
        <v>581</v>
      </c>
      <c r="E23" s="79" t="s">
        <v>799</v>
      </c>
      <c r="F23" s="80"/>
      <c r="G23" s="78" t="s">
        <v>657</v>
      </c>
      <c r="H23" s="78" t="s">
        <v>794</v>
      </c>
      <c r="I23" s="78" t="s">
        <v>659</v>
      </c>
      <c r="J23" s="78"/>
      <c r="K23" s="81">
        <v>4</v>
      </c>
      <c r="L23" s="81">
        <v>9</v>
      </c>
      <c r="M23" s="81"/>
      <c r="N23" s="81"/>
      <c r="O23" s="81"/>
      <c r="P23" s="81"/>
      <c r="Q23" s="81"/>
      <c r="R23" s="81"/>
      <c r="S23" s="81"/>
    </row>
    <row r="24" spans="1:19" s="100" customFormat="1" ht="80.25" customHeight="1">
      <c r="A24" s="134" t="s">
        <v>800</v>
      </c>
      <c r="B24" s="95" t="s">
        <v>30</v>
      </c>
      <c r="C24" s="96" t="s">
        <v>801</v>
      </c>
      <c r="D24" s="96" t="s">
        <v>590</v>
      </c>
      <c r="E24" s="97">
        <v>45925</v>
      </c>
      <c r="F24" s="98" t="s">
        <v>802</v>
      </c>
      <c r="G24" s="96" t="s">
        <v>584</v>
      </c>
      <c r="H24" s="96" t="s">
        <v>789</v>
      </c>
      <c r="I24" s="96" t="s">
        <v>785</v>
      </c>
      <c r="J24" s="96" t="s">
        <v>649</v>
      </c>
      <c r="K24" s="99">
        <v>4</v>
      </c>
      <c r="L24" s="99">
        <v>21</v>
      </c>
      <c r="M24" s="99">
        <v>1</v>
      </c>
      <c r="N24" s="99">
        <v>2</v>
      </c>
      <c r="O24" s="99">
        <v>5</v>
      </c>
      <c r="P24" s="99">
        <v>0</v>
      </c>
      <c r="Q24" s="99">
        <v>1</v>
      </c>
      <c r="R24" s="99">
        <v>0</v>
      </c>
      <c r="S24" s="99">
        <v>0</v>
      </c>
    </row>
    <row r="25" spans="1:19" s="60" customFormat="1" ht="87.75" customHeight="1">
      <c r="A25" s="56" t="s">
        <v>660</v>
      </c>
      <c r="B25" s="56" t="s">
        <v>34</v>
      </c>
      <c r="C25" s="57" t="s">
        <v>661</v>
      </c>
      <c r="D25" s="57" t="s">
        <v>645</v>
      </c>
      <c r="E25" s="70" t="s">
        <v>662</v>
      </c>
      <c r="F25" s="58" t="s">
        <v>663</v>
      </c>
      <c r="G25" s="57" t="s">
        <v>657</v>
      </c>
      <c r="H25" s="57" t="s">
        <v>794</v>
      </c>
      <c r="I25" s="57" t="s">
        <v>659</v>
      </c>
      <c r="J25" s="57" t="s">
        <v>649</v>
      </c>
      <c r="K25" s="59">
        <v>4</v>
      </c>
      <c r="L25" s="59"/>
      <c r="M25" s="59">
        <v>2</v>
      </c>
      <c r="N25" s="59"/>
      <c r="O25" s="59"/>
      <c r="P25" s="59"/>
      <c r="Q25" s="59"/>
      <c r="R25" s="59"/>
      <c r="S25" s="59">
        <v>0</v>
      </c>
    </row>
    <row r="26" spans="1:19" s="100" customFormat="1" ht="75.75" customHeight="1">
      <c r="A26" s="133" t="s">
        <v>664</v>
      </c>
      <c r="B26" s="109" t="s">
        <v>30</v>
      </c>
      <c r="C26" s="110" t="s">
        <v>803</v>
      </c>
      <c r="D26" s="110" t="s">
        <v>581</v>
      </c>
      <c r="E26" s="111">
        <v>45932</v>
      </c>
      <c r="F26" s="112" t="s">
        <v>802</v>
      </c>
      <c r="G26" s="110" t="s">
        <v>584</v>
      </c>
      <c r="H26" s="110" t="s">
        <v>789</v>
      </c>
      <c r="I26" s="96" t="s">
        <v>659</v>
      </c>
      <c r="J26" s="96" t="s">
        <v>649</v>
      </c>
      <c r="K26" s="99">
        <v>4</v>
      </c>
      <c r="L26" s="99"/>
      <c r="M26" s="99">
        <v>1</v>
      </c>
      <c r="N26" s="99">
        <v>2</v>
      </c>
      <c r="O26" s="99">
        <v>6</v>
      </c>
      <c r="P26" s="99"/>
      <c r="Q26" s="99">
        <v>1</v>
      </c>
      <c r="R26" s="99"/>
      <c r="S26" s="99"/>
    </row>
    <row r="27" spans="1:19" s="60" customFormat="1" ht="93" customHeight="1">
      <c r="A27" s="56" t="s">
        <v>668</v>
      </c>
      <c r="B27" s="56" t="s">
        <v>32</v>
      </c>
      <c r="C27" s="57" t="s">
        <v>669</v>
      </c>
      <c r="D27" s="57" t="s">
        <v>590</v>
      </c>
      <c r="E27" s="70" t="s">
        <v>670</v>
      </c>
      <c r="F27" s="58" t="s">
        <v>671</v>
      </c>
      <c r="G27" s="57" t="s">
        <v>600</v>
      </c>
      <c r="H27" s="57" t="s">
        <v>658</v>
      </c>
      <c r="I27" s="68" t="s">
        <v>672</v>
      </c>
      <c r="J27" s="57" t="s">
        <v>649</v>
      </c>
      <c r="K27" s="59">
        <v>3</v>
      </c>
      <c r="L27" s="59">
        <v>8</v>
      </c>
      <c r="M27" s="59">
        <v>1</v>
      </c>
      <c r="N27" s="59">
        <v>2</v>
      </c>
      <c r="O27" s="59">
        <v>5</v>
      </c>
      <c r="P27" s="59">
        <v>0</v>
      </c>
      <c r="Q27" s="59">
        <v>0</v>
      </c>
      <c r="R27" s="59">
        <v>0</v>
      </c>
      <c r="S27" s="59">
        <v>0</v>
      </c>
    </row>
    <row r="28" spans="1:19" s="100" customFormat="1" ht="54.75" customHeight="1">
      <c r="A28" s="133" t="s">
        <v>804</v>
      </c>
      <c r="B28" s="95" t="s">
        <v>30</v>
      </c>
      <c r="C28" s="96" t="s">
        <v>805</v>
      </c>
      <c r="D28" s="96" t="s">
        <v>581</v>
      </c>
      <c r="E28" s="97">
        <v>45946</v>
      </c>
      <c r="F28" s="98" t="s">
        <v>806</v>
      </c>
      <c r="G28" s="96" t="s">
        <v>584</v>
      </c>
      <c r="H28" s="96" t="s">
        <v>807</v>
      </c>
      <c r="I28" s="108" t="s">
        <v>785</v>
      </c>
      <c r="J28" s="96" t="s">
        <v>808</v>
      </c>
      <c r="K28" s="99">
        <v>5</v>
      </c>
      <c r="L28" s="99"/>
      <c r="M28" s="99">
        <v>1</v>
      </c>
      <c r="N28" s="99"/>
      <c r="O28" s="99">
        <v>6</v>
      </c>
      <c r="P28" s="99"/>
      <c r="Q28" s="99"/>
      <c r="R28" s="99"/>
      <c r="S28" s="99"/>
    </row>
    <row r="29" spans="1:19" s="60" customFormat="1" ht="103.5" customHeight="1">
      <c r="A29" s="113" t="s">
        <v>673</v>
      </c>
      <c r="B29" s="114" t="s">
        <v>32</v>
      </c>
      <c r="C29" s="115" t="s">
        <v>674</v>
      </c>
      <c r="D29" s="115" t="s">
        <v>581</v>
      </c>
      <c r="E29" s="116" t="s">
        <v>675</v>
      </c>
      <c r="F29" s="117" t="s">
        <v>671</v>
      </c>
      <c r="G29" s="115" t="s">
        <v>600</v>
      </c>
      <c r="H29" s="115" t="s">
        <v>658</v>
      </c>
      <c r="I29" s="118" t="s">
        <v>676</v>
      </c>
      <c r="J29" s="115" t="s">
        <v>649</v>
      </c>
      <c r="K29" s="59">
        <v>4</v>
      </c>
      <c r="L29" s="59">
        <v>8</v>
      </c>
      <c r="M29" s="59">
        <v>1</v>
      </c>
      <c r="N29" s="59">
        <v>2</v>
      </c>
      <c r="O29" s="59">
        <v>5</v>
      </c>
      <c r="P29" s="59">
        <v>0</v>
      </c>
      <c r="Q29" s="59">
        <v>0</v>
      </c>
      <c r="R29" s="59">
        <v>0</v>
      </c>
      <c r="S29" s="59">
        <v>0</v>
      </c>
    </row>
    <row r="30" spans="1:19" s="100" customFormat="1" ht="24" customHeight="1">
      <c r="A30" s="133" t="s">
        <v>809</v>
      </c>
      <c r="B30" s="102"/>
      <c r="C30" s="103" t="s">
        <v>810</v>
      </c>
      <c r="D30" s="104" t="s">
        <v>581</v>
      </c>
      <c r="E30" s="105">
        <v>45953</v>
      </c>
      <c r="F30" s="106" t="s">
        <v>811</v>
      </c>
      <c r="G30" s="104" t="s">
        <v>812</v>
      </c>
      <c r="H30" s="107" t="s">
        <v>585</v>
      </c>
      <c r="I30" s="96" t="s">
        <v>813</v>
      </c>
      <c r="J30" s="96" t="s">
        <v>808</v>
      </c>
      <c r="K30" s="99">
        <v>4</v>
      </c>
      <c r="L30" s="99"/>
      <c r="M30" s="99">
        <v>1</v>
      </c>
      <c r="N30" s="99">
        <v>4</v>
      </c>
      <c r="O30" s="99"/>
      <c r="P30" s="99"/>
      <c r="Q30" s="99"/>
      <c r="R30" s="99"/>
      <c r="S30" s="99"/>
    </row>
    <row r="31" spans="1:19" s="127" customFormat="1" ht="90" customHeight="1">
      <c r="A31" s="124" t="s">
        <v>814</v>
      </c>
      <c r="B31" s="77"/>
      <c r="C31" s="78" t="s">
        <v>815</v>
      </c>
      <c r="D31" s="78" t="s">
        <v>581</v>
      </c>
      <c r="E31" s="79">
        <v>45938</v>
      </c>
      <c r="F31" s="80" t="s">
        <v>671</v>
      </c>
      <c r="G31" s="78" t="s">
        <v>600</v>
      </c>
      <c r="H31" s="78" t="s">
        <v>794</v>
      </c>
      <c r="I31" s="78" t="s">
        <v>816</v>
      </c>
      <c r="J31" s="78" t="s">
        <v>649</v>
      </c>
      <c r="K31" s="81">
        <v>4</v>
      </c>
      <c r="L31" s="81">
        <v>8</v>
      </c>
      <c r="M31" s="81">
        <v>2</v>
      </c>
      <c r="N31" s="81">
        <v>2</v>
      </c>
      <c r="O31" s="81">
        <v>5</v>
      </c>
      <c r="P31" s="81">
        <v>0</v>
      </c>
      <c r="Q31" s="81">
        <v>0</v>
      </c>
      <c r="R31" s="81">
        <v>1</v>
      </c>
      <c r="S31" s="81">
        <v>0</v>
      </c>
    </row>
    <row r="32" spans="1:19" s="127" customFormat="1" ht="95.25" customHeight="1">
      <c r="A32" s="124" t="s">
        <v>817</v>
      </c>
      <c r="B32" s="77"/>
      <c r="C32" s="78" t="s">
        <v>818</v>
      </c>
      <c r="D32" s="78" t="s">
        <v>590</v>
      </c>
      <c r="E32" s="79">
        <v>45960</v>
      </c>
      <c r="F32" s="80" t="s">
        <v>819</v>
      </c>
      <c r="G32" s="78" t="s">
        <v>600</v>
      </c>
      <c r="H32" s="78" t="s">
        <v>658</v>
      </c>
      <c r="I32" s="78" t="s">
        <v>820</v>
      </c>
      <c r="J32" s="78" t="s">
        <v>808</v>
      </c>
      <c r="K32" s="81">
        <v>5</v>
      </c>
      <c r="L32" s="81">
        <v>8</v>
      </c>
      <c r="M32" s="81">
        <v>1</v>
      </c>
      <c r="N32" s="81">
        <v>2</v>
      </c>
      <c r="O32" s="81">
        <v>5</v>
      </c>
      <c r="P32" s="81">
        <v>1</v>
      </c>
      <c r="Q32" s="81">
        <v>1</v>
      </c>
      <c r="R32" s="81">
        <v>1</v>
      </c>
      <c r="S32" s="81">
        <v>0</v>
      </c>
    </row>
    <row r="33" spans="1:20" s="127" customFormat="1" ht="91.5" customHeight="1">
      <c r="A33" s="124" t="s">
        <v>821</v>
      </c>
      <c r="B33" s="128"/>
      <c r="C33" s="129" t="s">
        <v>822</v>
      </c>
      <c r="D33" s="129" t="s">
        <v>581</v>
      </c>
      <c r="E33" s="130">
        <v>45952</v>
      </c>
      <c r="F33" s="131" t="s">
        <v>671</v>
      </c>
      <c r="G33" s="129" t="s">
        <v>600</v>
      </c>
      <c r="H33" s="129" t="s">
        <v>794</v>
      </c>
      <c r="I33" s="129" t="s">
        <v>672</v>
      </c>
      <c r="J33" s="129" t="s">
        <v>808</v>
      </c>
      <c r="K33" s="132">
        <v>4</v>
      </c>
      <c r="L33" s="132">
        <v>8</v>
      </c>
      <c r="M33" s="132">
        <v>1</v>
      </c>
      <c r="N33" s="132">
        <v>2</v>
      </c>
      <c r="O33" s="132">
        <v>5</v>
      </c>
      <c r="P33" s="132">
        <v>2</v>
      </c>
      <c r="Q33" s="132">
        <v>1</v>
      </c>
      <c r="R33" s="132">
        <v>1</v>
      </c>
      <c r="S33" s="132">
        <v>0</v>
      </c>
    </row>
    <row r="34" spans="1:20" s="60" customFormat="1" ht="53.25">
      <c r="A34" s="114" t="s">
        <v>677</v>
      </c>
      <c r="B34" s="119" t="s">
        <v>48</v>
      </c>
      <c r="C34" s="120" t="s">
        <v>678</v>
      </c>
      <c r="D34" s="120" t="s">
        <v>590</v>
      </c>
      <c r="E34" s="121" t="s">
        <v>679</v>
      </c>
      <c r="F34" s="122" t="s">
        <v>680</v>
      </c>
      <c r="G34" s="120" t="s">
        <v>681</v>
      </c>
      <c r="H34" s="120" t="s">
        <v>682</v>
      </c>
      <c r="I34" s="120" t="s">
        <v>683</v>
      </c>
      <c r="J34" s="120" t="s">
        <v>684</v>
      </c>
      <c r="K34" s="123">
        <v>3</v>
      </c>
      <c r="L34" s="123">
        <v>11</v>
      </c>
      <c r="M34" s="123">
        <v>2</v>
      </c>
      <c r="N34" s="123">
        <v>3</v>
      </c>
      <c r="O34" s="123">
        <v>4</v>
      </c>
      <c r="P34" s="123"/>
      <c r="Q34" s="123"/>
      <c r="R34" s="123"/>
      <c r="S34" s="123"/>
      <c r="T34" s="66"/>
    </row>
    <row r="35" spans="1:20">
      <c r="A35" s="124" t="s">
        <v>685</v>
      </c>
      <c r="B35" s="124"/>
      <c r="C35" s="33" t="s">
        <v>686</v>
      </c>
      <c r="D35" s="125" t="s">
        <v>581</v>
      </c>
      <c r="E35" s="126" t="s">
        <v>687</v>
      </c>
      <c r="F35" s="49"/>
      <c r="G35" s="48" t="s">
        <v>657</v>
      </c>
      <c r="H35" s="48" t="s">
        <v>823</v>
      </c>
      <c r="I35" s="48"/>
      <c r="J35" s="48"/>
      <c r="K35" s="47"/>
      <c r="L35" s="47"/>
      <c r="M35" s="47"/>
      <c r="N35" s="47"/>
      <c r="O35" s="47"/>
      <c r="P35" s="47"/>
      <c r="Q35" s="47"/>
      <c r="R35" s="47"/>
      <c r="S35" s="47"/>
    </row>
    <row r="36" spans="1:20">
      <c r="A36" s="47"/>
      <c r="B36" s="47"/>
      <c r="C36" s="33"/>
      <c r="D36" s="48"/>
      <c r="E36" s="5"/>
      <c r="F36" s="49"/>
      <c r="G36" s="48"/>
      <c r="H36" s="48"/>
      <c r="I36" s="48"/>
      <c r="J36" s="48"/>
      <c r="K36" s="47"/>
      <c r="L36" s="47"/>
      <c r="M36" s="47"/>
      <c r="N36" s="47"/>
      <c r="O36" s="47"/>
      <c r="P36" s="47"/>
      <c r="Q36" s="47"/>
      <c r="R36" s="47"/>
      <c r="S36" s="47"/>
    </row>
    <row r="37" spans="1:20">
      <c r="A37" s="47"/>
      <c r="B37" s="47"/>
      <c r="C37" s="33"/>
      <c r="D37" s="48"/>
      <c r="E37" s="5"/>
      <c r="F37" s="49"/>
      <c r="G37" s="48"/>
      <c r="H37" s="48"/>
      <c r="I37" s="48"/>
      <c r="J37" s="48"/>
      <c r="K37" s="47"/>
      <c r="L37" s="47"/>
      <c r="M37" s="47"/>
      <c r="N37" s="47"/>
      <c r="O37" s="47"/>
      <c r="P37" s="47"/>
      <c r="Q37" s="47"/>
      <c r="R37" s="47"/>
      <c r="S37" s="47"/>
    </row>
    <row r="38" spans="1:20">
      <c r="A38" s="47"/>
      <c r="B38" s="47"/>
      <c r="C38" s="33"/>
      <c r="D38" s="48"/>
      <c r="E38" s="5"/>
      <c r="F38" s="49"/>
      <c r="G38" s="48"/>
      <c r="H38" s="48"/>
      <c r="I38" s="48"/>
      <c r="J38" s="48"/>
      <c r="K38" s="47"/>
      <c r="L38" s="47"/>
      <c r="M38" s="47"/>
      <c r="N38" s="47"/>
      <c r="O38" s="47"/>
      <c r="P38" s="47"/>
      <c r="Q38" s="47"/>
      <c r="R38" s="47"/>
      <c r="S38" s="47"/>
    </row>
    <row r="39" spans="1:20">
      <c r="A39" s="47"/>
      <c r="B39" s="47"/>
      <c r="C39" s="33"/>
      <c r="D39" s="48"/>
      <c r="E39" s="5"/>
      <c r="F39" s="49"/>
      <c r="G39" s="48"/>
      <c r="H39" s="48"/>
      <c r="I39" s="48"/>
      <c r="J39" s="48"/>
      <c r="K39" s="47"/>
      <c r="L39" s="47"/>
      <c r="M39" s="47"/>
      <c r="N39" s="47"/>
      <c r="O39" s="47"/>
      <c r="P39" s="47"/>
      <c r="Q39" s="47"/>
      <c r="R39" s="47"/>
      <c r="S39" s="47"/>
    </row>
    <row r="40" spans="1:20">
      <c r="A40" s="47"/>
      <c r="B40" s="47"/>
      <c r="C40" s="33"/>
      <c r="D40" s="48"/>
      <c r="E40" s="5"/>
      <c r="F40" s="49"/>
      <c r="G40" s="48"/>
      <c r="H40" s="48"/>
      <c r="I40" s="48"/>
      <c r="J40" s="48"/>
      <c r="K40" s="47"/>
      <c r="L40" s="47"/>
      <c r="M40" s="47"/>
      <c r="N40" s="47"/>
      <c r="O40" s="47"/>
      <c r="P40" s="47"/>
      <c r="Q40" s="47"/>
      <c r="R40" s="47"/>
      <c r="S40" s="47"/>
    </row>
    <row r="41" spans="1:20">
      <c r="A41" s="47"/>
      <c r="B41" s="47"/>
      <c r="C41" s="33"/>
      <c r="D41" s="48"/>
      <c r="E41" s="5"/>
      <c r="F41" s="49"/>
      <c r="G41" s="48"/>
      <c r="H41" s="48"/>
      <c r="I41" s="48"/>
      <c r="J41" s="48"/>
      <c r="K41" s="47"/>
      <c r="L41" s="47"/>
      <c r="M41" s="47"/>
      <c r="N41" s="47"/>
      <c r="O41" s="47"/>
      <c r="P41" s="47"/>
      <c r="Q41" s="47"/>
      <c r="R41" s="47"/>
      <c r="S41" s="47"/>
    </row>
    <row r="42" spans="1:20">
      <c r="A42" s="47"/>
      <c r="B42" s="47"/>
      <c r="C42" s="33"/>
      <c r="D42" s="48"/>
      <c r="E42" s="5"/>
      <c r="F42" s="49"/>
      <c r="G42" s="48"/>
      <c r="H42" s="48"/>
      <c r="I42" s="48"/>
      <c r="J42" s="48"/>
      <c r="K42" s="47"/>
      <c r="L42" s="47"/>
      <c r="M42" s="47"/>
      <c r="N42" s="47"/>
      <c r="O42" s="47"/>
      <c r="P42" s="47"/>
      <c r="Q42" s="47"/>
      <c r="R42" s="47"/>
      <c r="S42" s="47"/>
    </row>
    <row r="43" spans="1:20">
      <c r="A43" s="47"/>
      <c r="B43" s="47"/>
      <c r="C43" s="33"/>
      <c r="D43" s="48"/>
      <c r="E43" s="5"/>
      <c r="F43" s="49"/>
      <c r="G43" s="48"/>
      <c r="H43" s="48"/>
      <c r="I43" s="48"/>
      <c r="J43" s="48"/>
      <c r="K43" s="47"/>
      <c r="L43" s="47"/>
      <c r="M43" s="47"/>
      <c r="N43" s="47"/>
      <c r="O43" s="47"/>
      <c r="P43" s="47"/>
      <c r="Q43" s="47"/>
      <c r="R43" s="47"/>
      <c r="S43" s="47"/>
    </row>
    <row r="44" spans="1:20">
      <c r="A44" s="47"/>
      <c r="B44" s="47"/>
      <c r="C44" s="33"/>
      <c r="D44" s="48"/>
      <c r="E44" s="5"/>
      <c r="F44" s="49"/>
      <c r="G44" s="48"/>
      <c r="H44" s="48"/>
      <c r="I44" s="48"/>
      <c r="J44" s="48"/>
      <c r="K44" s="47"/>
      <c r="L44" s="47"/>
      <c r="M44" s="47"/>
      <c r="N44" s="47"/>
      <c r="O44" s="47"/>
      <c r="P44" s="47"/>
      <c r="Q44" s="47"/>
      <c r="R44" s="47"/>
      <c r="S44" s="47"/>
    </row>
    <row r="45" spans="1:20">
      <c r="A45" s="47"/>
      <c r="B45" s="47"/>
      <c r="C45" s="33"/>
      <c r="D45" s="48"/>
      <c r="E45" s="5"/>
      <c r="F45" s="49"/>
      <c r="G45" s="48"/>
      <c r="H45" s="48"/>
      <c r="I45" s="48"/>
      <c r="J45" s="48"/>
      <c r="K45" s="47"/>
      <c r="L45" s="47"/>
      <c r="M45" s="47"/>
      <c r="N45" s="47"/>
      <c r="O45" s="47"/>
      <c r="P45" s="47"/>
      <c r="Q45" s="47"/>
      <c r="R45" s="47"/>
      <c r="S45" s="47"/>
    </row>
    <row r="46" spans="1:20">
      <c r="A46" s="47"/>
      <c r="B46" s="47"/>
      <c r="C46" s="33"/>
      <c r="D46" s="48"/>
      <c r="E46" s="5"/>
      <c r="F46" s="49"/>
      <c r="G46" s="48"/>
      <c r="H46" s="48"/>
      <c r="I46" s="48"/>
      <c r="J46" s="48"/>
      <c r="K46" s="47"/>
      <c r="L46" s="47"/>
      <c r="M46" s="47"/>
      <c r="N46" s="47"/>
      <c r="O46" s="47"/>
      <c r="P46" s="47"/>
      <c r="Q46" s="47"/>
      <c r="R46" s="47"/>
      <c r="S46" s="47"/>
    </row>
    <row r="47" spans="1:20">
      <c r="A47" s="47"/>
      <c r="B47" s="47"/>
      <c r="C47" s="33"/>
      <c r="D47" s="48"/>
      <c r="E47" s="5"/>
      <c r="F47" s="49"/>
      <c r="G47" s="48"/>
      <c r="H47" s="48"/>
      <c r="I47" s="48"/>
      <c r="J47" s="48"/>
      <c r="K47" s="47"/>
      <c r="L47" s="47"/>
      <c r="M47" s="47"/>
      <c r="N47" s="47"/>
      <c r="O47" s="47"/>
      <c r="P47" s="47"/>
      <c r="Q47" s="47"/>
      <c r="R47" s="47"/>
      <c r="S47" s="47"/>
    </row>
    <row r="48" spans="1:20">
      <c r="A48" s="47"/>
      <c r="B48" s="47"/>
      <c r="C48" s="33"/>
      <c r="D48" s="48"/>
      <c r="E48" s="5"/>
      <c r="F48" s="49"/>
      <c r="G48" s="48"/>
      <c r="H48" s="48"/>
      <c r="I48" s="48"/>
      <c r="J48" s="48"/>
      <c r="K48" s="47"/>
      <c r="L48" s="47"/>
      <c r="M48" s="47"/>
      <c r="N48" s="47"/>
      <c r="O48" s="47"/>
      <c r="P48" s="47"/>
      <c r="Q48" s="47"/>
      <c r="R48" s="47"/>
      <c r="S48" s="47"/>
    </row>
    <row r="49" spans="1:19">
      <c r="A49" s="47"/>
      <c r="B49" s="47"/>
      <c r="C49" s="33"/>
      <c r="D49" s="48"/>
      <c r="E49" s="5"/>
      <c r="F49" s="49"/>
      <c r="G49" s="48"/>
      <c r="H49" s="48"/>
      <c r="I49" s="48"/>
      <c r="J49" s="48"/>
      <c r="K49" s="47"/>
      <c r="L49" s="47"/>
      <c r="M49" s="47"/>
      <c r="N49" s="47"/>
      <c r="O49" s="47"/>
      <c r="P49" s="47"/>
      <c r="Q49" s="47"/>
      <c r="R49" s="47"/>
      <c r="S49" s="47"/>
    </row>
    <row r="50" spans="1:19">
      <c r="A50" s="47"/>
      <c r="B50" s="47"/>
      <c r="C50" s="33"/>
      <c r="D50" s="48"/>
      <c r="E50" s="5"/>
      <c r="F50" s="49"/>
      <c r="G50" s="48"/>
      <c r="H50" s="48"/>
      <c r="I50" s="48"/>
      <c r="J50" s="48"/>
      <c r="K50" s="47"/>
      <c r="L50" s="47"/>
      <c r="M50" s="47"/>
      <c r="N50" s="47"/>
      <c r="O50" s="47"/>
      <c r="P50" s="47"/>
      <c r="Q50" s="47"/>
      <c r="R50" s="47"/>
      <c r="S50" s="47"/>
    </row>
    <row r="51" spans="1:19">
      <c r="A51" s="47"/>
      <c r="B51" s="47"/>
      <c r="C51" s="33"/>
      <c r="D51" s="48"/>
      <c r="E51" s="5"/>
      <c r="F51" s="49"/>
      <c r="G51" s="48"/>
      <c r="H51" s="48"/>
      <c r="I51" s="48"/>
      <c r="J51" s="48"/>
      <c r="K51" s="47"/>
      <c r="L51" s="47"/>
      <c r="M51" s="47"/>
      <c r="N51" s="47"/>
      <c r="O51" s="47"/>
      <c r="P51" s="47"/>
      <c r="Q51" s="47"/>
      <c r="R51" s="47"/>
      <c r="S51" s="47"/>
    </row>
    <row r="52" spans="1:19">
      <c r="A52" s="47"/>
      <c r="B52" s="47"/>
      <c r="C52" s="33"/>
      <c r="D52" s="48"/>
      <c r="E52" s="5"/>
      <c r="F52" s="49"/>
      <c r="G52" s="48"/>
      <c r="H52" s="48"/>
      <c r="I52" s="48"/>
      <c r="J52" s="48"/>
      <c r="K52" s="47"/>
      <c r="L52" s="47"/>
      <c r="M52" s="47"/>
      <c r="N52" s="47"/>
      <c r="O52" s="47"/>
      <c r="P52" s="47"/>
      <c r="Q52" s="47"/>
      <c r="R52" s="47"/>
      <c r="S52" s="47"/>
    </row>
    <row r="53" spans="1:19">
      <c r="A53" s="47"/>
      <c r="B53" s="47"/>
      <c r="C53" s="33"/>
      <c r="D53" s="48"/>
      <c r="E53" s="5"/>
      <c r="F53" s="49"/>
      <c r="G53" s="48"/>
      <c r="H53" s="48"/>
      <c r="I53" s="48"/>
      <c r="J53" s="48"/>
      <c r="K53" s="47"/>
      <c r="L53" s="47"/>
      <c r="M53" s="47"/>
      <c r="N53" s="47"/>
      <c r="O53" s="47"/>
      <c r="P53" s="47"/>
      <c r="Q53" s="47"/>
      <c r="R53" s="47"/>
      <c r="S53" s="47"/>
    </row>
    <row r="54" spans="1:19">
      <c r="A54" s="47"/>
      <c r="B54" s="47"/>
      <c r="C54" s="33"/>
      <c r="D54" s="48"/>
      <c r="E54" s="5"/>
      <c r="F54" s="49"/>
      <c r="G54" s="48"/>
      <c r="H54" s="48"/>
      <c r="I54" s="48"/>
      <c r="J54" s="48"/>
      <c r="K54" s="47"/>
      <c r="L54" s="47"/>
      <c r="M54" s="47"/>
      <c r="N54" s="47"/>
      <c r="O54" s="47"/>
      <c r="P54" s="47"/>
      <c r="Q54" s="47"/>
      <c r="R54" s="47"/>
      <c r="S54" s="47"/>
    </row>
    <row r="55" spans="1:19">
      <c r="A55" s="47"/>
      <c r="B55" s="47"/>
      <c r="C55" s="33"/>
      <c r="D55" s="48"/>
      <c r="E55" s="5"/>
      <c r="F55" s="49"/>
      <c r="G55" s="48"/>
      <c r="H55" s="48"/>
      <c r="I55" s="48"/>
      <c r="J55" s="48"/>
      <c r="K55" s="47"/>
      <c r="L55" s="47"/>
      <c r="M55" s="47"/>
      <c r="N55" s="47"/>
      <c r="O55" s="47"/>
      <c r="P55" s="47"/>
      <c r="Q55" s="47"/>
      <c r="R55" s="47"/>
      <c r="S55" s="47"/>
    </row>
    <row r="56" spans="1:19">
      <c r="A56" s="47"/>
      <c r="B56" s="47"/>
      <c r="C56" s="33"/>
      <c r="D56" s="48"/>
      <c r="E56" s="5"/>
      <c r="F56" s="49"/>
      <c r="G56" s="48"/>
      <c r="H56" s="48"/>
      <c r="I56" s="48"/>
      <c r="J56" s="48"/>
      <c r="K56" s="47"/>
      <c r="L56" s="47"/>
      <c r="M56" s="47"/>
      <c r="N56" s="47"/>
      <c r="O56" s="47"/>
      <c r="P56" s="47"/>
      <c r="Q56" s="47"/>
      <c r="R56" s="47"/>
      <c r="S56" s="47"/>
    </row>
    <row r="57" spans="1:19">
      <c r="A57" s="47"/>
      <c r="B57" s="47"/>
      <c r="C57" s="33"/>
      <c r="D57" s="48"/>
      <c r="E57" s="5"/>
      <c r="F57" s="49"/>
      <c r="G57" s="48"/>
      <c r="H57" s="48"/>
      <c r="I57" s="48"/>
      <c r="J57" s="48"/>
      <c r="K57" s="47"/>
      <c r="L57" s="47"/>
      <c r="M57" s="47"/>
      <c r="N57" s="47"/>
      <c r="O57" s="47"/>
      <c r="P57" s="47"/>
      <c r="Q57" s="47"/>
      <c r="R57" s="47"/>
      <c r="S57" s="47"/>
    </row>
    <row r="58" spans="1:19">
      <c r="A58" s="47"/>
      <c r="B58" s="47"/>
      <c r="C58" s="33"/>
      <c r="D58" s="48"/>
      <c r="E58" s="5"/>
      <c r="F58" s="49"/>
      <c r="G58" s="48"/>
      <c r="H58" s="48"/>
      <c r="I58" s="48"/>
      <c r="J58" s="48"/>
      <c r="K58" s="47"/>
      <c r="L58" s="47"/>
      <c r="M58" s="47"/>
      <c r="N58" s="47"/>
      <c r="O58" s="47"/>
      <c r="P58" s="47"/>
      <c r="Q58" s="47"/>
      <c r="R58" s="47"/>
      <c r="S58" s="47"/>
    </row>
    <row r="59" spans="1:19">
      <c r="A59" s="47"/>
      <c r="B59" s="47"/>
      <c r="C59" s="33"/>
      <c r="D59" s="48"/>
      <c r="E59" s="5"/>
      <c r="F59" s="49"/>
      <c r="G59" s="48"/>
      <c r="H59" s="48"/>
      <c r="I59" s="48"/>
      <c r="J59" s="48"/>
      <c r="K59" s="47"/>
      <c r="L59" s="47"/>
      <c r="M59" s="47"/>
      <c r="N59" s="47"/>
      <c r="O59" s="47"/>
      <c r="P59" s="47"/>
      <c r="Q59" s="47"/>
      <c r="R59" s="47"/>
      <c r="S59" s="47"/>
    </row>
    <row r="60" spans="1:19">
      <c r="A60" s="47"/>
      <c r="B60" s="47"/>
      <c r="C60" s="33"/>
      <c r="D60" s="48"/>
      <c r="E60" s="5"/>
      <c r="F60" s="49"/>
      <c r="G60" s="48"/>
      <c r="H60" s="48"/>
      <c r="I60" s="48"/>
      <c r="J60" s="48"/>
      <c r="K60" s="47"/>
      <c r="L60" s="47"/>
      <c r="M60" s="47"/>
      <c r="N60" s="47"/>
      <c r="O60" s="47"/>
      <c r="P60" s="47"/>
      <c r="Q60" s="47"/>
      <c r="R60" s="47"/>
      <c r="S60" s="47"/>
    </row>
    <row r="61" spans="1:19">
      <c r="A61" s="47"/>
      <c r="B61" s="47"/>
      <c r="C61" s="33"/>
      <c r="D61" s="48"/>
      <c r="E61" s="5"/>
      <c r="F61" s="49"/>
      <c r="G61" s="48"/>
      <c r="H61" s="48"/>
      <c r="I61" s="48"/>
      <c r="J61" s="48"/>
      <c r="K61" s="47"/>
      <c r="L61" s="47"/>
      <c r="M61" s="47"/>
      <c r="N61" s="47"/>
      <c r="O61" s="47"/>
      <c r="P61" s="47"/>
      <c r="Q61" s="47"/>
      <c r="R61" s="47"/>
      <c r="S61" s="47"/>
    </row>
    <row r="62" spans="1:19">
      <c r="A62" s="47"/>
      <c r="B62" s="47"/>
      <c r="C62" s="33"/>
      <c r="D62" s="48"/>
      <c r="E62" s="5"/>
      <c r="F62" s="49"/>
      <c r="G62" s="48"/>
      <c r="H62" s="48"/>
      <c r="I62" s="48"/>
      <c r="J62" s="48"/>
      <c r="K62" s="47"/>
      <c r="L62" s="47"/>
      <c r="M62" s="47"/>
      <c r="N62" s="47"/>
      <c r="O62" s="47"/>
      <c r="P62" s="47"/>
      <c r="Q62" s="47"/>
      <c r="R62" s="47"/>
      <c r="S62" s="47"/>
    </row>
    <row r="63" spans="1:19">
      <c r="A63" s="47"/>
      <c r="B63" s="47"/>
      <c r="C63" s="33"/>
      <c r="D63" s="48"/>
      <c r="E63" s="5"/>
      <c r="F63" s="49"/>
      <c r="G63" s="48"/>
      <c r="H63" s="48"/>
      <c r="I63" s="48"/>
      <c r="J63" s="48"/>
      <c r="K63" s="47"/>
      <c r="L63" s="47"/>
      <c r="M63" s="47"/>
      <c r="N63" s="47"/>
      <c r="O63" s="47"/>
      <c r="P63" s="47"/>
      <c r="Q63" s="47"/>
      <c r="R63" s="47"/>
      <c r="S63" s="47"/>
    </row>
    <row r="64" spans="1:19">
      <c r="A64" s="47"/>
      <c r="B64" s="47"/>
      <c r="C64" s="33"/>
      <c r="D64" s="48"/>
      <c r="E64" s="5"/>
      <c r="F64" s="49"/>
      <c r="G64" s="48"/>
      <c r="H64" s="48"/>
      <c r="I64" s="48"/>
      <c r="J64" s="48"/>
      <c r="K64" s="47"/>
      <c r="L64" s="47"/>
      <c r="M64" s="47"/>
      <c r="N64" s="47"/>
      <c r="O64" s="47"/>
      <c r="P64" s="47"/>
      <c r="Q64" s="47"/>
      <c r="R64" s="47"/>
      <c r="S64" s="47"/>
    </row>
    <row r="65" spans="1:19">
      <c r="A65" s="47"/>
      <c r="B65" s="47"/>
      <c r="C65" s="33"/>
      <c r="D65" s="48"/>
      <c r="E65" s="5"/>
      <c r="F65" s="49"/>
      <c r="G65" s="48"/>
      <c r="H65" s="48"/>
      <c r="I65" s="48"/>
      <c r="J65" s="48"/>
      <c r="K65" s="47"/>
      <c r="L65" s="47"/>
      <c r="M65" s="47"/>
      <c r="N65" s="47"/>
      <c r="O65" s="47"/>
      <c r="P65" s="47"/>
      <c r="Q65" s="47"/>
      <c r="R65" s="47"/>
      <c r="S65" s="47"/>
    </row>
    <row r="66" spans="1:19">
      <c r="A66" s="47"/>
      <c r="B66" s="47"/>
      <c r="C66" s="33"/>
      <c r="D66" s="48"/>
      <c r="E66" s="5"/>
      <c r="F66" s="49"/>
      <c r="G66" s="48"/>
      <c r="H66" s="48"/>
      <c r="I66" s="48"/>
      <c r="J66" s="48"/>
      <c r="K66" s="47"/>
      <c r="L66" s="47"/>
      <c r="M66" s="47"/>
      <c r="N66" s="47"/>
      <c r="O66" s="47"/>
      <c r="P66" s="47"/>
      <c r="Q66" s="47"/>
      <c r="R66" s="47"/>
      <c r="S66" s="47"/>
    </row>
    <row r="67" spans="1:19">
      <c r="A67" s="47"/>
      <c r="B67" s="47"/>
      <c r="C67" s="33"/>
      <c r="D67" s="48"/>
      <c r="E67" s="5"/>
      <c r="F67" s="49"/>
      <c r="G67" s="48"/>
      <c r="H67" s="48"/>
      <c r="I67" s="48"/>
      <c r="J67" s="48"/>
      <c r="K67" s="47"/>
      <c r="L67" s="47"/>
      <c r="M67" s="47"/>
      <c r="N67" s="47"/>
      <c r="O67" s="47"/>
      <c r="P67" s="47"/>
      <c r="Q67" s="47"/>
      <c r="R67" s="47"/>
      <c r="S67" s="47"/>
    </row>
    <row r="68" spans="1:19">
      <c r="A68" s="47"/>
      <c r="B68" s="47"/>
      <c r="C68" s="33"/>
      <c r="D68" s="48"/>
      <c r="E68" s="5"/>
      <c r="F68" s="49"/>
      <c r="G68" s="48"/>
      <c r="H68" s="48"/>
      <c r="I68" s="48"/>
      <c r="J68" s="48"/>
      <c r="K68" s="47"/>
      <c r="L68" s="47"/>
      <c r="M68" s="47"/>
      <c r="N68" s="47"/>
      <c r="O68" s="47"/>
      <c r="P68" s="47"/>
      <c r="Q68" s="47"/>
      <c r="R68" s="47"/>
      <c r="S68" s="47"/>
    </row>
    <row r="69" spans="1:19">
      <c r="A69" s="47"/>
      <c r="B69" s="47"/>
      <c r="C69" s="33"/>
      <c r="D69" s="48"/>
      <c r="E69" s="5"/>
      <c r="F69" s="49"/>
      <c r="G69" s="48"/>
      <c r="H69" s="48"/>
      <c r="I69" s="48"/>
      <c r="J69" s="48"/>
      <c r="K69" s="47"/>
      <c r="L69" s="47"/>
      <c r="M69" s="47"/>
      <c r="N69" s="47"/>
      <c r="O69" s="47"/>
      <c r="P69" s="47"/>
      <c r="Q69" s="47"/>
      <c r="R69" s="47"/>
      <c r="S69" s="47"/>
    </row>
    <row r="70" spans="1:19">
      <c r="A70" s="47"/>
      <c r="B70" s="47"/>
      <c r="C70" s="33"/>
      <c r="D70" s="48"/>
      <c r="E70" s="5"/>
      <c r="F70" s="49"/>
      <c r="G70" s="48"/>
      <c r="H70" s="48"/>
      <c r="I70" s="48"/>
      <c r="J70" s="48"/>
      <c r="K70" s="47"/>
      <c r="L70" s="47"/>
      <c r="M70" s="47"/>
      <c r="N70" s="47"/>
      <c r="O70" s="47"/>
      <c r="P70" s="47"/>
      <c r="Q70" s="47"/>
      <c r="R70" s="47"/>
      <c r="S70" s="47"/>
    </row>
    <row r="71" spans="1:19">
      <c r="A71" s="47"/>
      <c r="B71" s="47"/>
      <c r="C71" s="33"/>
      <c r="D71" s="48"/>
      <c r="E71" s="5"/>
      <c r="F71" s="49"/>
      <c r="G71" s="48"/>
      <c r="H71" s="48"/>
      <c r="I71" s="48"/>
      <c r="J71" s="48"/>
      <c r="K71" s="47"/>
      <c r="L71" s="47"/>
      <c r="M71" s="47"/>
      <c r="N71" s="47"/>
      <c r="O71" s="47"/>
      <c r="P71" s="47"/>
      <c r="Q71" s="47"/>
      <c r="R71" s="47"/>
      <c r="S71" s="47"/>
    </row>
    <row r="72" spans="1:19">
      <c r="A72" s="47"/>
      <c r="B72" s="47"/>
      <c r="C72" s="33"/>
      <c r="D72" s="48"/>
      <c r="E72" s="5"/>
      <c r="F72" s="49"/>
      <c r="G72" s="48"/>
      <c r="H72" s="48"/>
      <c r="I72" s="48"/>
      <c r="J72" s="48"/>
      <c r="K72" s="47"/>
      <c r="L72" s="47"/>
      <c r="M72" s="47"/>
      <c r="N72" s="47"/>
      <c r="O72" s="47"/>
      <c r="P72" s="47"/>
      <c r="Q72" s="47"/>
      <c r="R72" s="47"/>
      <c r="S72" s="47"/>
    </row>
    <row r="73" spans="1:19">
      <c r="A73" s="47"/>
      <c r="B73" s="47"/>
      <c r="C73" s="33"/>
      <c r="D73" s="48"/>
      <c r="E73" s="5"/>
      <c r="F73" s="49"/>
      <c r="G73" s="48"/>
      <c r="H73" s="48"/>
      <c r="I73" s="48"/>
      <c r="J73" s="48"/>
      <c r="K73" s="47"/>
      <c r="L73" s="47"/>
      <c r="M73" s="47"/>
      <c r="N73" s="47"/>
      <c r="O73" s="47"/>
      <c r="P73" s="47"/>
      <c r="Q73" s="47"/>
      <c r="R73" s="47"/>
      <c r="S73" s="47"/>
    </row>
    <row r="74" spans="1:19">
      <c r="A74" s="47"/>
      <c r="B74" s="47"/>
      <c r="C74" s="33"/>
      <c r="D74" s="48"/>
      <c r="E74" s="5"/>
      <c r="F74" s="49"/>
      <c r="G74" s="48"/>
      <c r="H74" s="48"/>
      <c r="I74" s="48"/>
      <c r="J74" s="48"/>
      <c r="K74" s="47"/>
      <c r="L74" s="47"/>
      <c r="M74" s="47"/>
      <c r="N74" s="47"/>
      <c r="O74" s="47"/>
      <c r="P74" s="47"/>
      <c r="Q74" s="47"/>
      <c r="R74" s="47"/>
      <c r="S74" s="47"/>
    </row>
    <row r="75" spans="1:19">
      <c r="A75" s="47"/>
      <c r="B75" s="47"/>
      <c r="C75" s="33"/>
      <c r="D75" s="48"/>
      <c r="E75" s="5"/>
      <c r="F75" s="49"/>
      <c r="G75" s="48"/>
      <c r="H75" s="48"/>
      <c r="I75" s="48"/>
      <c r="J75" s="48"/>
      <c r="K75" s="47"/>
      <c r="L75" s="47"/>
      <c r="M75" s="47"/>
      <c r="N75" s="47"/>
      <c r="O75" s="47"/>
      <c r="P75" s="47"/>
      <c r="Q75" s="47"/>
      <c r="R75" s="47"/>
      <c r="S75" s="47"/>
    </row>
    <row r="76" spans="1:19">
      <c r="A76" s="47"/>
      <c r="B76" s="47"/>
      <c r="C76" s="33"/>
      <c r="D76" s="48"/>
      <c r="E76" s="5"/>
      <c r="F76" s="49"/>
      <c r="G76" s="48"/>
      <c r="H76" s="48"/>
      <c r="I76" s="48"/>
      <c r="J76" s="48"/>
      <c r="K76" s="47"/>
      <c r="L76" s="47"/>
      <c r="M76" s="47"/>
      <c r="N76" s="47"/>
      <c r="O76" s="47"/>
      <c r="P76" s="47"/>
      <c r="Q76" s="47"/>
      <c r="R76" s="47"/>
      <c r="S76" s="47"/>
    </row>
    <row r="77" spans="1:19">
      <c r="A77" s="47"/>
      <c r="B77" s="47"/>
      <c r="C77" s="33"/>
      <c r="D77" s="48"/>
      <c r="E77" s="5"/>
      <c r="F77" s="49"/>
      <c r="G77" s="48"/>
      <c r="H77" s="48"/>
      <c r="I77" s="48"/>
      <c r="J77" s="48"/>
      <c r="K77" s="47"/>
      <c r="L77" s="47"/>
      <c r="M77" s="47"/>
      <c r="N77" s="47"/>
      <c r="O77" s="47"/>
      <c r="P77" s="47"/>
      <c r="Q77" s="47"/>
      <c r="R77" s="47"/>
      <c r="S77" s="47"/>
    </row>
    <row r="78" spans="1:19">
      <c r="A78" s="47"/>
      <c r="B78" s="47"/>
      <c r="C78" s="33"/>
      <c r="D78" s="48"/>
      <c r="E78" s="5"/>
      <c r="F78" s="49"/>
      <c r="G78" s="48"/>
      <c r="H78" s="48"/>
      <c r="I78" s="48"/>
      <c r="J78" s="48"/>
      <c r="K78" s="47"/>
      <c r="L78" s="47"/>
      <c r="M78" s="47"/>
      <c r="N78" s="47"/>
      <c r="O78" s="47"/>
      <c r="P78" s="47"/>
      <c r="Q78" s="47"/>
      <c r="R78" s="47"/>
      <c r="S78" s="47"/>
    </row>
    <row r="79" spans="1:19">
      <c r="A79" s="47"/>
      <c r="B79" s="47"/>
      <c r="C79" s="33"/>
      <c r="D79" s="48"/>
      <c r="E79" s="5"/>
      <c r="F79" s="49"/>
      <c r="G79" s="48"/>
      <c r="H79" s="48"/>
      <c r="I79" s="48"/>
      <c r="J79" s="48"/>
      <c r="K79" s="47"/>
      <c r="L79" s="47"/>
      <c r="M79" s="47"/>
      <c r="N79" s="47"/>
      <c r="O79" s="47"/>
      <c r="P79" s="47"/>
      <c r="Q79" s="47"/>
      <c r="R79" s="47"/>
      <c r="S79" s="47"/>
    </row>
    <row r="80" spans="1:19">
      <c r="A80" s="47"/>
      <c r="B80" s="47"/>
      <c r="C80" s="33"/>
      <c r="D80" s="48"/>
      <c r="E80" s="5"/>
      <c r="F80" s="49"/>
      <c r="G80" s="48"/>
      <c r="H80" s="48"/>
      <c r="I80" s="48"/>
      <c r="J80" s="48"/>
      <c r="K80" s="47"/>
      <c r="L80" s="47"/>
      <c r="M80" s="47"/>
      <c r="N80" s="47"/>
      <c r="O80" s="47"/>
      <c r="P80" s="47"/>
      <c r="Q80" s="47"/>
      <c r="R80" s="47"/>
      <c r="S80" s="47"/>
    </row>
    <row r="81" spans="1:19">
      <c r="A81" s="47"/>
      <c r="B81" s="47"/>
      <c r="C81" s="33"/>
      <c r="D81" s="48"/>
      <c r="E81" s="5"/>
      <c r="F81" s="49"/>
      <c r="G81" s="48"/>
      <c r="H81" s="48"/>
      <c r="I81" s="48"/>
      <c r="J81" s="48"/>
      <c r="K81" s="47"/>
      <c r="L81" s="47"/>
      <c r="M81" s="47"/>
      <c r="N81" s="47"/>
      <c r="O81" s="47"/>
      <c r="P81" s="47"/>
      <c r="Q81" s="47"/>
      <c r="R81" s="47"/>
      <c r="S81" s="47"/>
    </row>
    <row r="82" spans="1:19">
      <c r="A82" s="50"/>
      <c r="B82" s="50"/>
      <c r="C82" s="34"/>
      <c r="D82" s="51"/>
      <c r="E82" s="40"/>
      <c r="F82" s="52"/>
      <c r="G82" s="51"/>
      <c r="H82" s="51"/>
      <c r="I82" s="51"/>
      <c r="J82" s="51"/>
      <c r="K82" s="50"/>
      <c r="L82" s="50"/>
      <c r="M82" s="50"/>
      <c r="N82" s="50"/>
      <c r="O82" s="50"/>
      <c r="P82" s="50"/>
      <c r="Q82" s="50"/>
      <c r="R82" s="50"/>
      <c r="S82" s="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529507-2587-4d5f-b343-bb4cfe788409">
      <Terms xmlns="http://schemas.microsoft.com/office/infopath/2007/PartnerControls"/>
    </lcf76f155ced4ddcb4097134ff3c332f>
    <TaxCatchAll xmlns="86b8dea2-2ba4-4798-874a-72cc8c24bc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9B2240CDE82A4F8CC08DDF3E31AECD" ma:contentTypeVersion="12" ma:contentTypeDescription="Crie um novo documento." ma:contentTypeScope="" ma:versionID="74813314f445c7af9b9608b3d575f226">
  <xsd:schema xmlns:xsd="http://www.w3.org/2001/XMLSchema" xmlns:xs="http://www.w3.org/2001/XMLSchema" xmlns:p="http://schemas.microsoft.com/office/2006/metadata/properties" xmlns:ns2="c0529507-2587-4d5f-b343-bb4cfe788409" xmlns:ns3="86b8dea2-2ba4-4798-874a-72cc8c24bc2b" targetNamespace="http://schemas.microsoft.com/office/2006/metadata/properties" ma:root="true" ma:fieldsID="1baffa7c259e8a29edab15b1ce9d857d" ns2:_="" ns3:_="">
    <xsd:import namespace="c0529507-2587-4d5f-b343-bb4cfe788409"/>
    <xsd:import namespace="86b8dea2-2ba4-4798-874a-72cc8c24bc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29507-2587-4d5f-b343-bb4cfe788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242374f3-4cab-4e95-b6f7-35998408e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8dea2-2ba4-4798-874a-72cc8c24bc2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b183f52-1950-458c-a376-c86a31e6884e}" ma:internalName="TaxCatchAll" ma:showField="CatchAllData" ma:web="86b8dea2-2ba4-4798-874a-72cc8c24bc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7A0A0-7637-40F4-9887-9F9ECB995C8D}"/>
</file>

<file path=customXml/itemProps2.xml><?xml version="1.0" encoding="utf-8"?>
<ds:datastoreItem xmlns:ds="http://schemas.openxmlformats.org/officeDocument/2006/customXml" ds:itemID="{D51A35C8-4D5F-4240-B513-280FC8CF4635}"/>
</file>

<file path=customXml/itemProps3.xml><?xml version="1.0" encoding="utf-8"?>
<ds:datastoreItem xmlns:ds="http://schemas.openxmlformats.org/officeDocument/2006/customXml" ds:itemID="{0F4C7BA0-2717-45AB-8855-5537651EF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Glauco Pedrosa</dc:creator>
  <cp:keywords/>
  <dc:description/>
  <cp:lastModifiedBy/>
  <cp:revision/>
  <dcterms:created xsi:type="dcterms:W3CDTF">2026-04-11T13:02:17Z</dcterms:created>
  <dcterms:modified xsi:type="dcterms:W3CDTF">2026-10-28T18:43:42Z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0x0101009B9B2240CDE82A4F8CC08DDF3E31AECD</vt:lpwstr>
  </property>
  <property fmtid="{D5CDD505-2E9C-101B-9397-08002B2CF9AE}" pid="3" name="MediaServiceImageTags">
    <vt:lpwstr/>
  </property>
</Properties>
</file>